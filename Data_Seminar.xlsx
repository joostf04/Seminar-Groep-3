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ost\Downloads\seminar\"/>
    </mc:Choice>
  </mc:AlternateContent>
  <xr:revisionPtr revIDLastSave="0" documentId="13_ncr:1_{8182A3EB-F6B7-4F7A-B5CE-4687D3DB2F57}" xr6:coauthVersionLast="47" xr6:coauthVersionMax="47" xr10:uidLastSave="{00000000-0000-0000-0000-000000000000}"/>
  <bookViews>
    <workbookView xWindow="-108" yWindow="-108" windowWidth="23256" windowHeight="12456" activeTab="1" xr2:uid="{56B8B86E-FA52-4554-A030-09CA128D9020}"/>
  </bookViews>
  <sheets>
    <sheet name="Quarterly" sheetId="1" r:id="rId1"/>
    <sheet name="Month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2" i="2"/>
</calcChain>
</file>

<file path=xl/sharedStrings.xml><?xml version="1.0" encoding="utf-8"?>
<sst xmlns="http://schemas.openxmlformats.org/spreadsheetml/2006/main" count="39" uniqueCount="21">
  <si>
    <t>yyyymm</t>
  </si>
  <si>
    <t>d/p</t>
  </si>
  <si>
    <t>d/y</t>
  </si>
  <si>
    <t>e/p</t>
  </si>
  <si>
    <t>d/e</t>
  </si>
  <si>
    <t>svar</t>
  </si>
  <si>
    <t>b/m</t>
  </si>
  <si>
    <t>ntis</t>
  </si>
  <si>
    <t>tbl</t>
  </si>
  <si>
    <t>lty</t>
  </si>
  <si>
    <t>ltr</t>
  </si>
  <si>
    <t>tms</t>
  </si>
  <si>
    <t>dfy</t>
  </si>
  <si>
    <t>dfr</t>
  </si>
  <si>
    <t>infl</t>
  </si>
  <si>
    <t>RF</t>
  </si>
  <si>
    <t>log eqprem</t>
  </si>
  <si>
    <t>simple eqprem</t>
  </si>
  <si>
    <t>yyyyq</t>
  </si>
  <si>
    <t>i/k</t>
  </si>
  <si>
    <t>RETURNS INCL 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</si>
</sst>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00"/>
    <numFmt numFmtId="165" formatCode="0.0000"/>
    <numFmt numFmtId="166" formatCode="0.000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Book Antiqua"/>
      <family val="1"/>
    </font>
    <font>
      <sz val="10"/>
      <name val="Arial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0"/>
      <name val="Book Antiqu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7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164" fontId="0" fillId="0" borderId="0" xfId="0" applyNumberFormat="1"/>
    <xf numFmtId="164" fontId="6" fillId="0" borderId="0" xfId="1" applyNumberFormat="1" applyFont="1"/>
    <xf numFmtId="164" fontId="6" fillId="0" borderId="0" xfId="0" applyNumberFormat="1" applyFont="1" applyAlignment="1">
      <alignment horizontal="right"/>
    </xf>
    <xf numFmtId="164" fontId="6" fillId="0" borderId="0" xfId="7" applyNumberFormat="1" applyFont="1"/>
    <xf numFmtId="165" fontId="6" fillId="0" borderId="0" xfId="7" applyNumberFormat="1" applyFont="1"/>
    <xf numFmtId="0" fontId="5" fillId="0" borderId="0" xfId="0" applyFont="1" applyAlignment="1">
      <alignment horizontal="right"/>
    </xf>
    <xf numFmtId="166" fontId="3" fillId="0" borderId="0" xfId="1" applyNumberFormat="1"/>
    <xf numFmtId="165" fontId="6" fillId="0" borderId="0" xfId="1" applyNumberFormat="1" applyFont="1"/>
  </cellXfs>
  <cellStyles count="11">
    <cellStyle name="_x000a_bidires=100_x000d_" xfId="3" xr:uid="{64D526C7-2F91-45DD-A9AA-3F85ADAE5D91}"/>
    <cellStyle name="Komma 2" xfId="9" xr:uid="{AE5AC17F-1344-4655-B067-9060752377CF}"/>
    <cellStyle name="Normal" xfId="0" builtinId="0"/>
    <cellStyle name="Normal 2" xfId="6" xr:uid="{F0E42E7E-38F9-44B5-AA6D-B263C1D4B72C}"/>
    <cellStyle name="Normal 3" xfId="2" xr:uid="{1A312C7C-0833-4262-BC2E-D10D318F94A7}"/>
    <cellStyle name="Normal 3 2" xfId="10" xr:uid="{A0E2A661-3D3F-4BB8-8D5E-56374EC6C3AF}"/>
    <cellStyle name="Normal 4" xfId="4" xr:uid="{5E820680-B902-4957-80B6-BCB2A0637778}"/>
    <cellStyle name="Percent 2" xfId="5" xr:uid="{1663F0C0-02D1-4E46-B0CA-F819710C4EF8}"/>
    <cellStyle name="Procent 2" xfId="8" xr:uid="{005C47E0-E676-4FB7-934F-86D489908E06}"/>
    <cellStyle name="Standaard 2" xfId="1" xr:uid="{E65CBAAA-F46B-414E-8652-779B73BD4B44}"/>
    <cellStyle name="Standaard 3" xfId="7" xr:uid="{A6435475-128F-42CD-A13E-E9B3256F0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F701-B955-4C2E-8E4C-BC157BD86DFC}">
  <dimension ref="A1:T305"/>
  <sheetViews>
    <sheetView workbookViewId="0">
      <selection activeCell="B2" sqref="B2"/>
    </sheetView>
  </sheetViews>
  <sheetFormatPr defaultRowHeight="14.4" x14ac:dyDescent="0.3"/>
  <cols>
    <col min="2" max="2" width="12.21875" customWidth="1"/>
    <col min="3" max="4" width="17.44140625" customWidth="1"/>
    <col min="8" max="8" width="13.21875" customWidth="1"/>
    <col min="9" max="9" width="12.44140625" customWidth="1"/>
    <col min="10" max="10" width="13.33203125" customWidth="1"/>
    <col min="11" max="11" width="11.88671875" customWidth="1"/>
    <col min="12" max="12" width="12.77734375" customWidth="1"/>
    <col min="13" max="13" width="13.21875" customWidth="1"/>
    <col min="18" max="18" width="19" customWidth="1"/>
    <col min="19" max="19" width="19.5546875" customWidth="1"/>
  </cols>
  <sheetData>
    <row r="1" spans="1:20" x14ac:dyDescent="0.3">
      <c r="A1" s="9" t="s">
        <v>18</v>
      </c>
      <c r="B1" s="1" t="s">
        <v>16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19</v>
      </c>
      <c r="S1" s="1" t="s">
        <v>20</v>
      </c>
      <c r="T1" s="1" t="s">
        <v>15</v>
      </c>
    </row>
    <row r="2" spans="1:20" x14ac:dyDescent="0.3">
      <c r="A2" s="3">
        <v>19471</v>
      </c>
      <c r="B2" s="4">
        <f>LN(1+S2) - LN(1+T2)</f>
        <v>-2.6387922500972238E-3</v>
      </c>
      <c r="C2" s="4">
        <f>S2-T2</f>
        <v>-2.6378172462388984E-3</v>
      </c>
      <c r="D2" s="5">
        <v>4.7462096242584045E-2</v>
      </c>
      <c r="E2" s="5">
        <v>4.6662346079066754E-2</v>
      </c>
      <c r="F2" s="5">
        <v>8.3717864205669082E-2</v>
      </c>
      <c r="G2" s="5">
        <v>0.56692913385826771</v>
      </c>
      <c r="H2" s="10">
        <v>5.8871474910000016E-3</v>
      </c>
      <c r="I2" s="5">
        <v>0.74153498871331835</v>
      </c>
      <c r="J2" s="5">
        <v>3.1019969316856726E-2</v>
      </c>
      <c r="K2" s="11">
        <v>3.8E-3</v>
      </c>
      <c r="L2" s="11">
        <v>2.1299999999999999E-2</v>
      </c>
      <c r="M2" s="11">
        <v>3.5017374799999335E-3</v>
      </c>
      <c r="N2" s="5">
        <v>1.7499999999999998E-2</v>
      </c>
      <c r="O2" s="5">
        <v>6.0000000000000019E-3</v>
      </c>
      <c r="P2" s="5">
        <v>4.2052141949999733E-3</v>
      </c>
      <c r="Q2" s="5">
        <v>1.8604651162790642E-2</v>
      </c>
      <c r="R2" s="10">
        <v>3.5725291095E-2</v>
      </c>
      <c r="S2" s="5">
        <v>-1.6878172462388985E-3</v>
      </c>
      <c r="T2" s="5">
        <v>9.5E-4</v>
      </c>
    </row>
    <row r="3" spans="1:20" x14ac:dyDescent="0.3">
      <c r="A3" s="3">
        <v>19472</v>
      </c>
      <c r="B3" s="4">
        <f t="shared" ref="B3:B66" si="0">LN(1+S3) - LN(1+T3)</f>
        <v>1.0280105584460335E-2</v>
      </c>
      <c r="C3" s="4">
        <f t="shared" ref="C3:C66" si="1">S3-T3</f>
        <v>1.0342943875120143E-2</v>
      </c>
      <c r="D3" s="5">
        <v>4.9967126890203814E-2</v>
      </c>
      <c r="E3" s="5">
        <v>5.2595155709342561E-2</v>
      </c>
      <c r="F3" s="5">
        <v>9.4674556213017749E-2</v>
      </c>
      <c r="G3" s="5">
        <v>0.52777777777777779</v>
      </c>
      <c r="H3" s="10">
        <v>6.8112253460000027E-3</v>
      </c>
      <c r="I3" s="5">
        <v>0.74111675126903553</v>
      </c>
      <c r="J3" s="5">
        <v>2.6472742527582801E-2</v>
      </c>
      <c r="K3" s="11">
        <v>3.8E-3</v>
      </c>
      <c r="L3" s="11">
        <v>2.1600000000000001E-2</v>
      </c>
      <c r="M3" s="11">
        <v>5.873777900000654E-4</v>
      </c>
      <c r="N3" s="5">
        <v>1.78E-2</v>
      </c>
      <c r="O3" s="5">
        <v>6.5999999999999982E-3</v>
      </c>
      <c r="P3" s="5">
        <v>3.8182238099997434E-3</v>
      </c>
      <c r="Q3" s="5">
        <v>4.5662100456622667E-3</v>
      </c>
      <c r="R3" s="10">
        <v>3.4793294005000003E-2</v>
      </c>
      <c r="S3" s="5">
        <v>1.1292943875120143E-2</v>
      </c>
      <c r="T3" s="5">
        <v>9.5E-4</v>
      </c>
    </row>
    <row r="4" spans="1:20" x14ac:dyDescent="0.3">
      <c r="A4" s="3">
        <v>19473</v>
      </c>
      <c r="B4" s="4">
        <f t="shared" si="0"/>
        <v>4.5355106101396371E-3</v>
      </c>
      <c r="C4" s="4">
        <f t="shared" si="1"/>
        <v>4.5501301269499422E-3</v>
      </c>
      <c r="D4" s="5">
        <v>5.2283256121773661E-2</v>
      </c>
      <c r="E4" s="5">
        <v>5.1566579634464753E-2</v>
      </c>
      <c r="F4" s="5">
        <v>0.10258107213765719</v>
      </c>
      <c r="G4" s="5">
        <v>0.50967741935483868</v>
      </c>
      <c r="H4" s="10">
        <v>4.1873442800000006E-3</v>
      </c>
      <c r="I4" s="5">
        <v>0.740323398501324</v>
      </c>
      <c r="J4" s="5">
        <v>2.4058547636889031E-2</v>
      </c>
      <c r="K4" s="11">
        <v>8.0000000000000002E-3</v>
      </c>
      <c r="L4" s="11">
        <v>2.1299999999999999E-2</v>
      </c>
      <c r="M4" s="11">
        <v>9.9874454680000113E-3</v>
      </c>
      <c r="N4" s="5">
        <v>1.3299999999999999E-2</v>
      </c>
      <c r="O4" s="5">
        <v>6.2000000000000041E-3</v>
      </c>
      <c r="P4" s="5">
        <v>-2.8134649447999927E-2</v>
      </c>
      <c r="Q4" s="5">
        <v>4.5454545454545414E-2</v>
      </c>
      <c r="R4" s="10">
        <v>3.3823602602E-2</v>
      </c>
      <c r="S4" s="5">
        <v>5.5001301269499425E-3</v>
      </c>
      <c r="T4" s="5">
        <v>9.5E-4</v>
      </c>
    </row>
    <row r="5" spans="1:20" x14ac:dyDescent="0.3">
      <c r="A5" s="3">
        <v>19474</v>
      </c>
      <c r="B5" s="4">
        <f t="shared" si="0"/>
        <v>3.0900495197466248E-2</v>
      </c>
      <c r="C5" s="4">
        <f t="shared" si="1"/>
        <v>3.1445636973910673E-2</v>
      </c>
      <c r="D5" s="5">
        <v>5.4901960784313718E-2</v>
      </c>
      <c r="E5" s="5">
        <v>5.6037358238825878E-2</v>
      </c>
      <c r="F5" s="5">
        <v>0.10522875816993464</v>
      </c>
      <c r="G5" s="5">
        <v>0.52173913043478259</v>
      </c>
      <c r="H5" s="10">
        <v>2.4528029639999996E-3</v>
      </c>
      <c r="I5" s="5">
        <v>0.7253256789578274</v>
      </c>
      <c r="J5" s="5">
        <v>2.5921592865842311E-2</v>
      </c>
      <c r="K5" s="11">
        <v>9.4999999999999998E-3</v>
      </c>
      <c r="L5" s="11">
        <v>2.4299999999999999E-2</v>
      </c>
      <c r="M5" s="11">
        <v>-3.9831736095999992E-2</v>
      </c>
      <c r="N5" s="5">
        <v>1.4799999999999999E-2</v>
      </c>
      <c r="O5" s="5">
        <v>6.6000000000000017E-3</v>
      </c>
      <c r="P5" s="5">
        <v>2.2581708943999912E-2</v>
      </c>
      <c r="Q5" s="5">
        <v>1.7391304347825987E-2</v>
      </c>
      <c r="R5" s="10">
        <v>3.4460698909999997E-2</v>
      </c>
      <c r="S5" s="5">
        <v>3.3445636973910675E-2</v>
      </c>
      <c r="T5" s="5">
        <v>2E-3</v>
      </c>
    </row>
    <row r="6" spans="1:20" x14ac:dyDescent="0.3">
      <c r="A6" s="3">
        <v>19481</v>
      </c>
      <c r="B6" s="4">
        <f t="shared" si="0"/>
        <v>-3.6161003961228859E-3</v>
      </c>
      <c r="C6" s="4">
        <f t="shared" si="1"/>
        <v>-3.618142907938588E-3</v>
      </c>
      <c r="D6" s="5">
        <v>5.636604774535809E-2</v>
      </c>
      <c r="E6" s="5">
        <v>6.0714285714285714E-2</v>
      </c>
      <c r="F6" s="5">
        <v>0.11339522546419098</v>
      </c>
      <c r="G6" s="5">
        <v>0.49707602339181284</v>
      </c>
      <c r="H6" s="10">
        <v>4.886523072E-3</v>
      </c>
      <c r="I6" s="5">
        <v>0.8414221218961625</v>
      </c>
      <c r="J6" s="5">
        <v>2.7187032727454829E-2</v>
      </c>
      <c r="K6" s="11">
        <v>0.01</v>
      </c>
      <c r="L6" s="11">
        <v>2.41E-2</v>
      </c>
      <c r="M6" s="11">
        <v>1.0031671280000154E-2</v>
      </c>
      <c r="N6" s="5">
        <v>1.41E-2</v>
      </c>
      <c r="O6" s="5">
        <v>6.9999999999999958E-3</v>
      </c>
      <c r="P6" s="5">
        <v>7.8502463599998684E-3</v>
      </c>
      <c r="Q6" s="5">
        <v>0</v>
      </c>
      <c r="R6" s="10">
        <v>3.6121728148E-2</v>
      </c>
      <c r="S6" s="5">
        <v>-1.2431429079385881E-3</v>
      </c>
      <c r="T6" s="5">
        <v>2.3749999999999999E-3</v>
      </c>
    </row>
    <row r="7" spans="1:20" x14ac:dyDescent="0.3">
      <c r="A7" s="3">
        <v>19482</v>
      </c>
      <c r="B7" s="4">
        <f t="shared" si="0"/>
        <v>0.11616528312110513</v>
      </c>
      <c r="C7" s="4">
        <f t="shared" si="1"/>
        <v>0.12348945348546153</v>
      </c>
      <c r="D7" s="5">
        <v>5.0776583034647556E-2</v>
      </c>
      <c r="E7" s="5">
        <v>5.0928699820251645E-2</v>
      </c>
      <c r="F7" s="5">
        <v>0.11111111111111113</v>
      </c>
      <c r="G7" s="5">
        <v>0.45698924731182794</v>
      </c>
      <c r="H7" s="10">
        <v>2.9117834700000014E-3</v>
      </c>
      <c r="I7" s="5">
        <v>0.78697350364192964</v>
      </c>
      <c r="J7" s="5">
        <v>2.389366857431274E-2</v>
      </c>
      <c r="K7" s="11">
        <v>0.01</v>
      </c>
      <c r="L7" s="11">
        <v>2.3800000000000002E-2</v>
      </c>
      <c r="M7" s="11">
        <v>1.010667702000001E-2</v>
      </c>
      <c r="N7" s="5">
        <v>1.3800000000000002E-2</v>
      </c>
      <c r="O7" s="5">
        <v>5.7999999999999996E-3</v>
      </c>
      <c r="P7" s="5">
        <v>-1.3841842252000136E-2</v>
      </c>
      <c r="Q7" s="5">
        <v>2.991452991453003E-2</v>
      </c>
      <c r="R7" s="10">
        <v>3.4530757751E-2</v>
      </c>
      <c r="S7" s="5">
        <v>0.12598945348546153</v>
      </c>
      <c r="T7" s="5">
        <v>2.5000000000000001E-3</v>
      </c>
    </row>
    <row r="8" spans="1:20" x14ac:dyDescent="0.3">
      <c r="A8" s="3">
        <v>19483</v>
      </c>
      <c r="B8" s="4">
        <f t="shared" si="0"/>
        <v>-6.8178076859928521E-2</v>
      </c>
      <c r="C8" s="4">
        <f t="shared" si="1"/>
        <v>-6.6070646486271423E-2</v>
      </c>
      <c r="D8" s="5">
        <v>5.6165267914783733E-2</v>
      </c>
      <c r="E8" s="5">
        <v>5.4477144646211645E-2</v>
      </c>
      <c r="F8" s="5">
        <v>0.13363460296965785</v>
      </c>
      <c r="G8" s="5">
        <v>0.4202898550724638</v>
      </c>
      <c r="H8" s="10">
        <v>6.3476321220000019E-3</v>
      </c>
      <c r="I8" s="5">
        <v>0.8362310712282669</v>
      </c>
      <c r="J8" s="5">
        <v>1.9128085479879736E-2</v>
      </c>
      <c r="K8" s="11">
        <v>1.09E-2</v>
      </c>
      <c r="L8" s="11">
        <v>2.4199999999999999E-2</v>
      </c>
      <c r="M8" s="11">
        <v>-6.0301029399989492E-4</v>
      </c>
      <c r="N8" s="5">
        <v>1.3299999999999999E-2</v>
      </c>
      <c r="O8" s="5">
        <v>6.1000000000000047E-3</v>
      </c>
      <c r="P8" s="5">
        <v>3.2750616539999333E-3</v>
      </c>
      <c r="Q8" s="5">
        <v>1.6597510373443924E-2</v>
      </c>
      <c r="R8" s="10">
        <v>3.4287569286999997E-2</v>
      </c>
      <c r="S8" s="5">
        <v>-6.357064648627142E-2</v>
      </c>
      <c r="T8" s="5">
        <v>2.5000000000000001E-3</v>
      </c>
    </row>
    <row r="9" spans="1:20" x14ac:dyDescent="0.3">
      <c r="A9" s="3">
        <v>19484</v>
      </c>
      <c r="B9" s="4">
        <f t="shared" si="0"/>
        <v>-3.2124153320630452E-3</v>
      </c>
      <c r="C9" s="4">
        <f t="shared" si="1"/>
        <v>-3.2160008329945814E-3</v>
      </c>
      <c r="D9" s="5">
        <v>6.1184210526315792E-2</v>
      </c>
      <c r="E9" s="5">
        <v>6.3050847457627124E-2</v>
      </c>
      <c r="F9" s="5">
        <v>0.1506578947368421</v>
      </c>
      <c r="G9" s="5">
        <v>0.40611353711790393</v>
      </c>
      <c r="H9" s="10">
        <v>7.9538714469999956E-3</v>
      </c>
      <c r="I9" s="5">
        <v>0.84094754653130277</v>
      </c>
      <c r="J9" s="5">
        <v>1.5014544847642721E-2</v>
      </c>
      <c r="K9" s="11">
        <v>1.1599999999999999E-2</v>
      </c>
      <c r="L9" s="11">
        <v>2.3699999999999999E-2</v>
      </c>
      <c r="M9" s="11">
        <v>1.3951829792000048E-2</v>
      </c>
      <c r="N9" s="5">
        <v>1.21E-2</v>
      </c>
      <c r="O9" s="5">
        <v>7.3999999999999969E-3</v>
      </c>
      <c r="P9" s="5">
        <v>1.0211627447999971E-2</v>
      </c>
      <c r="Q9" s="5">
        <v>-1.6326530612244872E-2</v>
      </c>
      <c r="R9" s="10">
        <v>3.4761881840000002E-2</v>
      </c>
      <c r="S9" s="5">
        <v>-4.9100083299458142E-4</v>
      </c>
      <c r="T9" s="5">
        <v>2.725E-3</v>
      </c>
    </row>
    <row r="10" spans="1:20" x14ac:dyDescent="0.3">
      <c r="A10" s="3">
        <v>19491</v>
      </c>
      <c r="B10" s="4">
        <f t="shared" si="0"/>
        <v>1.0426961065844787E-3</v>
      </c>
      <c r="C10" s="4">
        <f t="shared" si="1"/>
        <v>1.0462652988773163E-3</v>
      </c>
      <c r="D10" s="5">
        <v>6.5073041168658696E-2</v>
      </c>
      <c r="E10" s="5">
        <v>6.7031463748290013E-2</v>
      </c>
      <c r="F10" s="5">
        <v>0.15803452855245684</v>
      </c>
      <c r="G10" s="5">
        <v>0.41176470588235298</v>
      </c>
      <c r="H10" s="10">
        <v>3.8435589770000004E-3</v>
      </c>
      <c r="I10" s="5">
        <v>0.90175042348955392</v>
      </c>
      <c r="J10" s="5">
        <v>1.4658968413256547E-2</v>
      </c>
      <c r="K10" s="11">
        <v>1.1699999999999999E-2</v>
      </c>
      <c r="L10" s="11">
        <v>2.2700000000000001E-2</v>
      </c>
      <c r="M10" s="11">
        <v>2.0637417332000085E-2</v>
      </c>
      <c r="N10" s="5">
        <v>1.1000000000000003E-2</v>
      </c>
      <c r="O10" s="5">
        <v>7.6999999999999985E-3</v>
      </c>
      <c r="P10" s="5">
        <v>-1.2317647224000083E-2</v>
      </c>
      <c r="Q10" s="5">
        <v>-1.2448132780083054E-2</v>
      </c>
      <c r="R10" s="10">
        <v>3.2847289512E-2</v>
      </c>
      <c r="S10" s="5">
        <v>3.9462652988773161E-3</v>
      </c>
      <c r="T10" s="5">
        <v>2.8999999999999998E-3</v>
      </c>
    </row>
    <row r="11" spans="1:20" x14ac:dyDescent="0.3">
      <c r="A11" s="3">
        <v>19492</v>
      </c>
      <c r="B11" s="4">
        <f t="shared" si="0"/>
        <v>-4.9910672791960091E-2</v>
      </c>
      <c r="C11" s="4">
        <f t="shared" si="1"/>
        <v>-4.8828006418409051E-2</v>
      </c>
      <c r="D11" s="5">
        <v>7.2033898305084748E-2</v>
      </c>
      <c r="E11" s="5">
        <v>7.1881606765327705E-2</v>
      </c>
      <c r="F11" s="5">
        <v>0.16949152542372881</v>
      </c>
      <c r="G11" s="5">
        <v>0.42500000000000004</v>
      </c>
      <c r="H11" s="10">
        <v>3.2047423880000006E-3</v>
      </c>
      <c r="I11" s="5">
        <v>0.95388842432206422</v>
      </c>
      <c r="J11" s="5">
        <v>1.6812418029371688E-2</v>
      </c>
      <c r="K11" s="11">
        <v>1.1699999999999999E-2</v>
      </c>
      <c r="L11" s="11">
        <v>2.1700000000000001E-2</v>
      </c>
      <c r="M11" s="11">
        <v>1.9752224902999993E-2</v>
      </c>
      <c r="N11" s="5">
        <v>1.0000000000000002E-2</v>
      </c>
      <c r="O11" s="5">
        <v>7.6000000000000026E-3</v>
      </c>
      <c r="P11" s="5">
        <v>-5.1921714870000191E-3</v>
      </c>
      <c r="Q11" s="5">
        <v>4.2016806722688926E-3</v>
      </c>
      <c r="R11" s="10">
        <v>3.1381199353000003E-2</v>
      </c>
      <c r="S11" s="5">
        <v>-4.5903006418409054E-2</v>
      </c>
      <c r="T11" s="5">
        <v>2.9249999999999996E-3</v>
      </c>
    </row>
    <row r="12" spans="1:20" x14ac:dyDescent="0.3">
      <c r="A12" s="3">
        <v>19493</v>
      </c>
      <c r="B12" s="4">
        <f t="shared" si="0"/>
        <v>0.10653393723117945</v>
      </c>
      <c r="C12" s="4">
        <f t="shared" si="1"/>
        <v>0.11274449397160409</v>
      </c>
      <c r="D12" s="5">
        <v>6.6752246469833118E-2</v>
      </c>
      <c r="E12" s="5">
        <v>6.8331143232588695E-2</v>
      </c>
      <c r="F12" s="5">
        <v>0.15340179717586649</v>
      </c>
      <c r="G12" s="5">
        <v>0.43514644351464432</v>
      </c>
      <c r="H12" s="10">
        <v>3.262011E-3</v>
      </c>
      <c r="I12" s="5">
        <v>0.87502054681935237</v>
      </c>
      <c r="J12" s="5">
        <v>2.3343413848558189E-2</v>
      </c>
      <c r="K12" s="11">
        <v>1.0700000000000001E-2</v>
      </c>
      <c r="L12" s="11">
        <v>2.12E-2</v>
      </c>
      <c r="M12" s="11">
        <v>1.3320749707000257E-2</v>
      </c>
      <c r="N12" s="5">
        <v>1.0499999999999999E-2</v>
      </c>
      <c r="O12" s="5">
        <v>7.6999999999999985E-3</v>
      </c>
      <c r="P12" s="5">
        <v>2.4445172159999196E-3</v>
      </c>
      <c r="Q12" s="5">
        <v>0</v>
      </c>
      <c r="R12" s="10">
        <v>2.9756721880999999E-2</v>
      </c>
      <c r="S12" s="5">
        <v>0.11566949397160409</v>
      </c>
      <c r="T12" s="5">
        <v>2.9249999999999996E-3</v>
      </c>
    </row>
    <row r="13" spans="1:20" x14ac:dyDescent="0.3">
      <c r="A13" s="3">
        <v>19494</v>
      </c>
      <c r="B13" s="4">
        <f t="shared" si="0"/>
        <v>9.6926521908390795E-2</v>
      </c>
      <c r="C13" s="4">
        <f t="shared" si="1"/>
        <v>0.10205167393039737</v>
      </c>
      <c r="D13" s="5">
        <v>6.8019093078758933E-2</v>
      </c>
      <c r="E13" s="5">
        <v>7.0983810709838113E-2</v>
      </c>
      <c r="F13" s="5">
        <v>0.13842482100238662</v>
      </c>
      <c r="G13" s="5">
        <v>0.49137931034482757</v>
      </c>
      <c r="H13" s="10">
        <v>1.995603088E-3</v>
      </c>
      <c r="I13" s="5">
        <v>0.79642928386195877</v>
      </c>
      <c r="J13" s="5">
        <v>2.7175581995091392E-2</v>
      </c>
      <c r="K13" s="11">
        <v>1.1000000000000001E-2</v>
      </c>
      <c r="L13" s="11">
        <v>2.0899999999999998E-2</v>
      </c>
      <c r="M13" s="11">
        <v>9.2248107479999675E-3</v>
      </c>
      <c r="N13" s="5">
        <v>9.8999999999999973E-3</v>
      </c>
      <c r="O13" s="5">
        <v>7.2999999999999975E-3</v>
      </c>
      <c r="P13" s="5">
        <v>-1.5038544763000039E-2</v>
      </c>
      <c r="Q13" s="5">
        <v>-1.2552301255229992E-2</v>
      </c>
      <c r="R13" s="10">
        <v>2.9249743195E-2</v>
      </c>
      <c r="S13" s="5">
        <v>0.10472667393039736</v>
      </c>
      <c r="T13" s="5">
        <v>2.6750000000000003E-3</v>
      </c>
    </row>
    <row r="14" spans="1:20" x14ac:dyDescent="0.3">
      <c r="A14" s="3">
        <v>19501</v>
      </c>
      <c r="B14" s="4">
        <f t="shared" si="0"/>
        <v>4.4330203158605516E-2</v>
      </c>
      <c r="C14" s="4">
        <f t="shared" si="1"/>
        <v>4.5452118876285336E-2</v>
      </c>
      <c r="D14" s="5">
        <v>6.7669172932330823E-2</v>
      </c>
      <c r="E14" s="5">
        <v>6.7944250871080136E-2</v>
      </c>
      <c r="F14" s="5">
        <v>0.13707345286292655</v>
      </c>
      <c r="G14" s="5">
        <v>0.49367088607594933</v>
      </c>
      <c r="H14" s="10">
        <v>2.0394697089999997E-3</v>
      </c>
      <c r="I14" s="5">
        <v>0.82552778451832076</v>
      </c>
      <c r="J14" s="5">
        <v>2.9291341669718397E-2</v>
      </c>
      <c r="K14" s="11">
        <v>1.1200000000000002E-2</v>
      </c>
      <c r="L14" s="11">
        <v>2.1499999999999998E-2</v>
      </c>
      <c r="M14" s="11">
        <v>-3.216020248000051E-3</v>
      </c>
      <c r="N14" s="5">
        <v>1.0299999999999997E-2</v>
      </c>
      <c r="O14" s="5">
        <v>6.6000000000000052E-3</v>
      </c>
      <c r="P14" s="5">
        <v>9.8282959460000985E-3</v>
      </c>
      <c r="Q14" s="5">
        <v>0</v>
      </c>
      <c r="R14" s="10">
        <v>2.9969893979999999E-2</v>
      </c>
      <c r="S14" s="5">
        <v>4.8202118876285338E-2</v>
      </c>
      <c r="T14" s="5">
        <v>2.7500000000000003E-3</v>
      </c>
    </row>
    <row r="15" spans="1:20" x14ac:dyDescent="0.3">
      <c r="A15" s="3">
        <v>19502</v>
      </c>
      <c r="B15" s="4">
        <f t="shared" si="0"/>
        <v>3.2155044217812456E-2</v>
      </c>
      <c r="C15" s="4">
        <f t="shared" si="1"/>
        <v>3.2769100874979445E-2</v>
      </c>
      <c r="D15" s="5">
        <v>6.7834934991520629E-2</v>
      </c>
      <c r="E15" s="5">
        <v>6.3897763578274758E-2</v>
      </c>
      <c r="F15" s="5">
        <v>0.14358394573205199</v>
      </c>
      <c r="G15" s="5">
        <v>0.47244094488188976</v>
      </c>
      <c r="H15" s="10">
        <v>7.2109902250000009E-3</v>
      </c>
      <c r="I15" s="5">
        <v>0.81344746783989275</v>
      </c>
      <c r="J15" s="5">
        <v>3.0396650480538766E-2</v>
      </c>
      <c r="K15" s="11">
        <v>1.15E-2</v>
      </c>
      <c r="L15" s="11">
        <v>2.1600000000000001E-2</v>
      </c>
      <c r="M15" s="11">
        <v>3.7941252500000022E-3</v>
      </c>
      <c r="N15" s="5">
        <v>1.0100000000000001E-2</v>
      </c>
      <c r="O15" s="5">
        <v>6.5999999999999948E-3</v>
      </c>
      <c r="P15" s="5">
        <v>-3.0971637780001782E-3</v>
      </c>
      <c r="Q15" s="5">
        <v>8.4745762711864181E-3</v>
      </c>
      <c r="R15" s="10">
        <v>3.2306948656999998E-2</v>
      </c>
      <c r="S15" s="5">
        <v>3.5569100874979442E-2</v>
      </c>
      <c r="T15" s="5">
        <v>2.8000000000000004E-3</v>
      </c>
    </row>
    <row r="16" spans="1:20" x14ac:dyDescent="0.3">
      <c r="A16" s="3">
        <v>19503</v>
      </c>
      <c r="B16" s="4">
        <f t="shared" si="0"/>
        <v>0.11867626559939536</v>
      </c>
      <c r="C16" s="4">
        <f t="shared" si="1"/>
        <v>0.12636759794691296</v>
      </c>
      <c r="D16" s="5">
        <v>6.8380462724935739E-2</v>
      </c>
      <c r="E16" s="5">
        <v>7.2204125950054279E-2</v>
      </c>
      <c r="F16" s="5">
        <v>0.13984575835475579</v>
      </c>
      <c r="G16" s="5">
        <v>0.4889705882352941</v>
      </c>
      <c r="H16" s="10">
        <v>5.5042281289999998E-3</v>
      </c>
      <c r="I16" s="5">
        <v>0.75145785474465443</v>
      </c>
      <c r="J16" s="5">
        <v>2.5914206856823409E-2</v>
      </c>
      <c r="K16" s="11">
        <v>1.3000000000000001E-2</v>
      </c>
      <c r="L16" s="11">
        <v>2.1999999999999999E-2</v>
      </c>
      <c r="M16" s="11">
        <v>-3.4203543999977715E-4</v>
      </c>
      <c r="N16" s="5">
        <v>8.9999999999999976E-3</v>
      </c>
      <c r="O16" s="5">
        <v>5.6999999999999967E-3</v>
      </c>
      <c r="P16" s="5">
        <v>7.1264231819997415E-3</v>
      </c>
      <c r="Q16" s="5">
        <v>2.5210084033613356E-2</v>
      </c>
      <c r="R16" s="10">
        <v>3.4730937942000002E-2</v>
      </c>
      <c r="S16" s="5">
        <v>0.12924259794691295</v>
      </c>
      <c r="T16" s="5">
        <v>2.875E-3</v>
      </c>
    </row>
    <row r="17" spans="1:20" x14ac:dyDescent="0.3">
      <c r="A17" s="3">
        <v>19504</v>
      </c>
      <c r="B17" s="4">
        <f t="shared" si="0"/>
        <v>7.7952066286789704E-2</v>
      </c>
      <c r="C17" s="4">
        <f t="shared" si="1"/>
        <v>8.1334317911101212E-2</v>
      </c>
      <c r="D17" s="5">
        <v>7.2023517883390495E-2</v>
      </c>
      <c r="E17" s="5">
        <v>7.5345976422347513E-2</v>
      </c>
      <c r="F17" s="5">
        <v>0.13914747672709454</v>
      </c>
      <c r="G17" s="5">
        <v>0.51760563380281688</v>
      </c>
      <c r="H17" s="10">
        <v>6.7066205069999992E-3</v>
      </c>
      <c r="I17" s="5">
        <v>0.72253844193356553</v>
      </c>
      <c r="J17" s="5">
        <v>3.1359199992622835E-2</v>
      </c>
      <c r="K17" s="11">
        <v>1.34E-2</v>
      </c>
      <c r="L17" s="11">
        <v>2.24E-2</v>
      </c>
      <c r="M17" s="11">
        <v>2.8109312000013098E-4</v>
      </c>
      <c r="N17" s="5">
        <v>8.9999999999999993E-3</v>
      </c>
      <c r="O17" s="5">
        <v>5.3000000000000026E-3</v>
      </c>
      <c r="P17" s="5">
        <v>6.6251569439998992E-3</v>
      </c>
      <c r="Q17" s="5">
        <v>2.4590163934426368E-2</v>
      </c>
      <c r="R17" s="10">
        <v>3.4343629969999998E-2</v>
      </c>
      <c r="S17" s="5">
        <v>8.4584317911101214E-2</v>
      </c>
      <c r="T17" s="5">
        <v>3.2500000000000003E-3</v>
      </c>
    </row>
    <row r="18" spans="1:20" x14ac:dyDescent="0.3">
      <c r="A18" s="3">
        <v>19511</v>
      </c>
      <c r="B18" s="4">
        <f t="shared" si="0"/>
        <v>5.6531556005483076E-2</v>
      </c>
      <c r="C18" s="4">
        <f t="shared" si="1"/>
        <v>5.8354841595002115E-2</v>
      </c>
      <c r="D18" s="5">
        <v>7.1028037383177575E-2</v>
      </c>
      <c r="E18" s="5">
        <v>6.9724770642201839E-2</v>
      </c>
      <c r="F18" s="5">
        <v>0.13224299065420561</v>
      </c>
      <c r="G18" s="5">
        <v>0.53710247349823326</v>
      </c>
      <c r="H18" s="10">
        <v>3.5829974950000003E-3</v>
      </c>
      <c r="I18" s="5">
        <v>0.78139460024946683</v>
      </c>
      <c r="J18" s="5">
        <v>3.2687668948789252E-2</v>
      </c>
      <c r="K18" s="11">
        <v>1.3999999999999999E-2</v>
      </c>
      <c r="L18" s="11">
        <v>2.41E-2</v>
      </c>
      <c r="M18" s="11">
        <v>-1.7317126155999896E-2</v>
      </c>
      <c r="N18" s="5">
        <v>1.0100000000000001E-2</v>
      </c>
      <c r="O18" s="5">
        <v>4.500000000000004E-3</v>
      </c>
      <c r="P18" s="5">
        <v>-8.8317857120001619E-3</v>
      </c>
      <c r="Q18" s="5">
        <v>3.2000000000000028E-2</v>
      </c>
      <c r="R18" s="10">
        <v>3.3136368239E-2</v>
      </c>
      <c r="S18" s="5">
        <v>6.1704841595002113E-2</v>
      </c>
      <c r="T18" s="5">
        <v>3.3500000000000001E-3</v>
      </c>
    </row>
    <row r="19" spans="1:20" x14ac:dyDescent="0.3">
      <c r="A19" s="3">
        <v>19512</v>
      </c>
      <c r="B19" s="4">
        <f t="shared" si="0"/>
        <v>-1.2179098199152742E-2</v>
      </c>
      <c r="C19" s="4">
        <f t="shared" si="1"/>
        <v>-1.2147601472695387E-2</v>
      </c>
      <c r="D19" s="5">
        <v>7.4427480916030533E-2</v>
      </c>
      <c r="E19" s="5">
        <v>7.24907063197026E-2</v>
      </c>
      <c r="F19" s="5">
        <v>0.12977099236641221</v>
      </c>
      <c r="G19" s="5">
        <v>0.57352941176470584</v>
      </c>
      <c r="H19" s="10">
        <v>3.3923914200000003E-3</v>
      </c>
      <c r="I19" s="5">
        <v>0.80036267721727661</v>
      </c>
      <c r="J19" s="5">
        <v>3.6342027969807456E-2</v>
      </c>
      <c r="K19" s="11">
        <v>1.4499999999999999E-2</v>
      </c>
      <c r="L19" s="11">
        <v>2.5899999999999999E-2</v>
      </c>
      <c r="M19" s="11">
        <v>-1.9274959513999934E-2</v>
      </c>
      <c r="N19" s="5">
        <v>1.14E-2</v>
      </c>
      <c r="O19" s="5">
        <v>5.5000000000000014E-3</v>
      </c>
      <c r="P19" s="5">
        <v>7.598616958999993E-3</v>
      </c>
      <c r="Q19" s="5">
        <v>3.8759689922480689E-3</v>
      </c>
      <c r="R19" s="10">
        <v>3.3265326993999998E-2</v>
      </c>
      <c r="S19" s="5">
        <v>-8.6476014726953876E-3</v>
      </c>
      <c r="T19" s="5">
        <v>3.4999999999999996E-3</v>
      </c>
    </row>
    <row r="20" spans="1:20" x14ac:dyDescent="0.3">
      <c r="A20" s="3">
        <v>19513</v>
      </c>
      <c r="B20" s="4">
        <f t="shared" si="0"/>
        <v>0.11677721432462471</v>
      </c>
      <c r="C20" s="4">
        <f t="shared" si="1"/>
        <v>0.12431804507614762</v>
      </c>
      <c r="D20" s="5">
        <v>6.5348237317282884E-2</v>
      </c>
      <c r="E20" s="5">
        <v>6.5292096219931275E-2</v>
      </c>
      <c r="F20" s="5">
        <v>0.10791057609630265</v>
      </c>
      <c r="G20" s="5">
        <v>0.60557768924302791</v>
      </c>
      <c r="H20" s="10">
        <v>2.2447564359999992E-3</v>
      </c>
      <c r="I20" s="5">
        <v>0.71618232777695812</v>
      </c>
      <c r="J20" s="5">
        <v>2.8800314104136946E-2</v>
      </c>
      <c r="K20" s="11">
        <v>1.6299999999999999E-2</v>
      </c>
      <c r="L20" s="11">
        <v>2.53E-2</v>
      </c>
      <c r="M20" s="11">
        <v>1.5645927040000007E-2</v>
      </c>
      <c r="N20" s="5">
        <v>9.0000000000000011E-3</v>
      </c>
      <c r="O20" s="5">
        <v>6.2000000000000006E-3</v>
      </c>
      <c r="P20" s="5">
        <v>1.0604610869999975E-2</v>
      </c>
      <c r="Q20" s="5">
        <v>7.7220077220079286E-3</v>
      </c>
      <c r="R20" s="10">
        <v>3.3378108745000003E-2</v>
      </c>
      <c r="S20" s="5">
        <v>0.12794304507614762</v>
      </c>
      <c r="T20" s="5">
        <v>3.6249999999999998E-3</v>
      </c>
    </row>
    <row r="21" spans="1:20" x14ac:dyDescent="0.3">
      <c r="A21" s="3">
        <v>19514</v>
      </c>
      <c r="B21" s="4">
        <f t="shared" si="0"/>
        <v>3.4810789148728198E-2</v>
      </c>
      <c r="C21" s="4">
        <f t="shared" si="1"/>
        <v>3.5568128740400211E-2</v>
      </c>
      <c r="D21" s="5">
        <v>5.9318468657972231E-2</v>
      </c>
      <c r="E21" s="5">
        <v>6.1625874125874128E-2</v>
      </c>
      <c r="F21" s="5">
        <v>0.10265039966344132</v>
      </c>
      <c r="G21" s="5">
        <v>0.57786885245901642</v>
      </c>
      <c r="H21" s="10">
        <v>2.9620942749999991E-3</v>
      </c>
      <c r="I21" s="5">
        <v>0.72131634661813315</v>
      </c>
      <c r="J21" s="5">
        <v>3.6150786684507108E-2</v>
      </c>
      <c r="K21" s="11">
        <v>1.7299999999999999E-2</v>
      </c>
      <c r="L21" s="11">
        <v>2.69E-2</v>
      </c>
      <c r="M21" s="11">
        <v>-1.8636657039999949E-2</v>
      </c>
      <c r="N21" s="5">
        <v>9.6000000000000009E-3</v>
      </c>
      <c r="O21" s="5">
        <v>6.0000000000000019E-3</v>
      </c>
      <c r="P21" s="5">
        <v>3.8061400500000175E-3</v>
      </c>
      <c r="Q21" s="5">
        <v>1.5325670498084198E-2</v>
      </c>
      <c r="R21" s="10">
        <v>3.2556955191999998E-2</v>
      </c>
      <c r="S21" s="5">
        <v>3.9643128740400213E-2</v>
      </c>
      <c r="T21" s="5">
        <v>4.0749999999999996E-3</v>
      </c>
    </row>
    <row r="22" spans="1:20" x14ac:dyDescent="0.3">
      <c r="A22" s="3">
        <v>19521</v>
      </c>
      <c r="B22" s="4">
        <f t="shared" si="0"/>
        <v>3.918933304157602E-2</v>
      </c>
      <c r="C22" s="4">
        <f t="shared" si="1"/>
        <v>4.0140224050343142E-2</v>
      </c>
      <c r="D22" s="5">
        <v>5.8268362741075087E-2</v>
      </c>
      <c r="E22" s="5">
        <v>6.1049011177987958E-2</v>
      </c>
      <c r="F22" s="5">
        <v>9.8481739844070576E-2</v>
      </c>
      <c r="G22" s="5">
        <v>0.59166666666666667</v>
      </c>
      <c r="H22" s="10">
        <v>2.1018372340000009E-3</v>
      </c>
      <c r="I22" s="5">
        <v>0.75187411860758557</v>
      </c>
      <c r="J22" s="5">
        <v>3.2094143138500494E-2</v>
      </c>
      <c r="K22" s="11">
        <v>1.5900000000000001E-2</v>
      </c>
      <c r="L22" s="11">
        <v>2.63E-2</v>
      </c>
      <c r="M22" s="11">
        <v>1.5350583512000027E-2</v>
      </c>
      <c r="N22" s="5">
        <v>1.04E-2</v>
      </c>
      <c r="O22" s="5">
        <v>5.4999999999999979E-3</v>
      </c>
      <c r="P22" s="5">
        <v>3.5656209479999479E-3</v>
      </c>
      <c r="Q22" s="5">
        <v>-7.547169811320753E-3</v>
      </c>
      <c r="R22" s="10">
        <v>3.2626858411999998E-2</v>
      </c>
      <c r="S22" s="5">
        <v>4.4465224050343144E-2</v>
      </c>
      <c r="T22" s="5">
        <v>4.3249999999999999E-3</v>
      </c>
    </row>
    <row r="23" spans="1:20" x14ac:dyDescent="0.3">
      <c r="A23" s="3">
        <v>19522</v>
      </c>
      <c r="B23" s="4">
        <f t="shared" si="0"/>
        <v>3.3593425069006019E-2</v>
      </c>
      <c r="C23" s="4">
        <f t="shared" si="1"/>
        <v>3.4299858184346839E-2</v>
      </c>
      <c r="D23" s="5">
        <v>5.8092948717948713E-2</v>
      </c>
      <c r="E23" s="5">
        <v>6.0771165129924559E-2</v>
      </c>
      <c r="F23" s="5">
        <v>9.3749999999999986E-2</v>
      </c>
      <c r="G23" s="5">
        <v>0.61965811965811968</v>
      </c>
      <c r="H23" s="10">
        <v>1.6595585389999996E-3</v>
      </c>
      <c r="I23" s="5">
        <v>0.73871508787282136</v>
      </c>
      <c r="J23" s="5">
        <v>2.7731269993829022E-2</v>
      </c>
      <c r="K23" s="11">
        <v>1.7000000000000001E-2</v>
      </c>
      <c r="L23" s="11">
        <v>2.5899999999999999E-2</v>
      </c>
      <c r="M23" s="11">
        <v>1.4047693070999845E-2</v>
      </c>
      <c r="N23" s="5">
        <v>8.8999999999999982E-3</v>
      </c>
      <c r="O23" s="5">
        <v>5.6000000000000043E-3</v>
      </c>
      <c r="P23" s="5">
        <v>-9.7446150549995725E-3</v>
      </c>
      <c r="Q23" s="5">
        <v>7.6045627376426506E-3</v>
      </c>
      <c r="R23" s="10">
        <v>3.2893102975999997E-2</v>
      </c>
      <c r="S23" s="5">
        <v>3.8274858184346838E-2</v>
      </c>
      <c r="T23" s="5">
        <v>3.9750000000000002E-3</v>
      </c>
    </row>
    <row r="24" spans="1:20" x14ac:dyDescent="0.3">
      <c r="A24" s="3">
        <v>19523</v>
      </c>
      <c r="B24" s="4">
        <f t="shared" si="0"/>
        <v>-9.2333440356612475E-3</v>
      </c>
      <c r="C24" s="4">
        <f t="shared" si="1"/>
        <v>-9.2299087122466282E-3</v>
      </c>
      <c r="D24" s="5">
        <v>5.9087204563977182E-2</v>
      </c>
      <c r="E24" s="5">
        <v>5.7930483419896123E-2</v>
      </c>
      <c r="F24" s="5">
        <v>9.6169519152404237E-2</v>
      </c>
      <c r="G24" s="5">
        <v>0.61440677966101698</v>
      </c>
      <c r="H24" s="10">
        <v>1.0755910279999998E-3</v>
      </c>
      <c r="I24" s="5">
        <v>0.74867891060936398</v>
      </c>
      <c r="J24" s="5">
        <v>3.1038052968652995E-2</v>
      </c>
      <c r="K24" s="11">
        <v>1.7100000000000001E-2</v>
      </c>
      <c r="L24" s="11">
        <v>2.7699999999999999E-2</v>
      </c>
      <c r="M24" s="11">
        <v>-2.1869182000000098E-2</v>
      </c>
      <c r="N24" s="5">
        <v>1.0599999999999998E-2</v>
      </c>
      <c r="O24" s="5">
        <v>5.7000000000000002E-3</v>
      </c>
      <c r="P24" s="5">
        <v>2.7965023856000082E-2</v>
      </c>
      <c r="Q24" s="5">
        <v>7.547169811320753E-3</v>
      </c>
      <c r="R24" s="10">
        <v>3.0091917113000001E-2</v>
      </c>
      <c r="S24" s="5">
        <v>-4.9799087122466279E-3</v>
      </c>
      <c r="T24" s="5">
        <v>4.2500000000000003E-3</v>
      </c>
    </row>
    <row r="25" spans="1:20" x14ac:dyDescent="0.3">
      <c r="A25" s="3">
        <v>19524</v>
      </c>
      <c r="B25" s="4">
        <f t="shared" si="0"/>
        <v>9.3128785587818397E-2</v>
      </c>
      <c r="C25" s="4">
        <f t="shared" si="1"/>
        <v>9.8020334798201852E-2</v>
      </c>
      <c r="D25" s="5">
        <v>5.3067369213398566E-2</v>
      </c>
      <c r="E25" s="5">
        <v>5.4949337490257204E-2</v>
      </c>
      <c r="F25" s="5">
        <v>9.0327436958976284E-2</v>
      </c>
      <c r="G25" s="5">
        <v>0.58750000000000002</v>
      </c>
      <c r="H25" s="10">
        <v>1.7530246000000004E-3</v>
      </c>
      <c r="I25" s="5">
        <v>0.69407331277834883</v>
      </c>
      <c r="J25" s="5">
        <v>2.6535607923680014E-2</v>
      </c>
      <c r="K25" s="11">
        <v>2.0899999999999998E-2</v>
      </c>
      <c r="L25" s="11">
        <v>2.7900000000000001E-2</v>
      </c>
      <c r="M25" s="11">
        <v>4.5636109200000163E-3</v>
      </c>
      <c r="N25" s="5">
        <v>7.0000000000000027E-3</v>
      </c>
      <c r="O25" s="5">
        <v>5.3999999999999986E-3</v>
      </c>
      <c r="P25" s="5">
        <v>9.4435578800000641E-4</v>
      </c>
      <c r="Q25" s="5">
        <v>0</v>
      </c>
      <c r="R25" s="10">
        <v>3.2593299961000001E-2</v>
      </c>
      <c r="S25" s="5">
        <v>0.10229533479820185</v>
      </c>
      <c r="T25" s="5">
        <v>4.2750000000000002E-3</v>
      </c>
    </row>
    <row r="26" spans="1:20" x14ac:dyDescent="0.3">
      <c r="A26" s="3">
        <v>19531</v>
      </c>
      <c r="B26" s="4">
        <f t="shared" si="0"/>
        <v>-4.154644090221031E-2</v>
      </c>
      <c r="C26" s="4">
        <f t="shared" si="1"/>
        <v>-4.0907849179784593E-2</v>
      </c>
      <c r="D26" s="5">
        <v>5.575326215895611E-2</v>
      </c>
      <c r="E26" s="5">
        <v>5.4440154440154438E-2</v>
      </c>
      <c r="F26" s="5">
        <v>9.6085409252669049E-2</v>
      </c>
      <c r="G26" s="5">
        <v>0.58024691358024683</v>
      </c>
      <c r="H26" s="10">
        <v>1.5742750779999999E-3</v>
      </c>
      <c r="I26" s="5">
        <v>0.76249687354843321</v>
      </c>
      <c r="J26" s="5">
        <v>2.4014260046270913E-2</v>
      </c>
      <c r="K26" s="11">
        <v>2.0099999999999996E-2</v>
      </c>
      <c r="L26" s="11">
        <v>2.9399999999999999E-2</v>
      </c>
      <c r="M26" s="11">
        <v>-1.6244348128000019E-2</v>
      </c>
      <c r="N26" s="5">
        <v>9.3000000000000027E-3</v>
      </c>
      <c r="O26" s="5">
        <v>4.4999999999999936E-3</v>
      </c>
      <c r="P26" s="5">
        <v>1.0158425280000216E-3</v>
      </c>
      <c r="Q26" s="5">
        <v>-3.7453183520598232E-3</v>
      </c>
      <c r="R26" s="10">
        <v>3.4099283130999997E-2</v>
      </c>
      <c r="S26" s="5">
        <v>-3.5682849179784593E-2</v>
      </c>
      <c r="T26" s="5">
        <v>5.2249999999999996E-3</v>
      </c>
    </row>
    <row r="27" spans="1:20" x14ac:dyDescent="0.3">
      <c r="A27" s="3">
        <v>19532</v>
      </c>
      <c r="B27" s="4">
        <f t="shared" si="0"/>
        <v>-3.7641162818648065E-2</v>
      </c>
      <c r="C27" s="4">
        <f t="shared" si="1"/>
        <v>-3.7127171159888894E-2</v>
      </c>
      <c r="D27" s="5">
        <v>5.8823529411764698E-2</v>
      </c>
      <c r="E27" s="5">
        <v>5.7864710676446614E-2</v>
      </c>
      <c r="F27" s="5">
        <v>0.10397680198840098</v>
      </c>
      <c r="G27" s="5">
        <v>0.56573705179282874</v>
      </c>
      <c r="H27" s="10">
        <v>2.9704536660000009E-3</v>
      </c>
      <c r="I27" s="5">
        <v>0.79549690598672929</v>
      </c>
      <c r="J27" s="5">
        <v>2.7462858700616086E-2</v>
      </c>
      <c r="K27" s="11">
        <v>2.1099999999999997E-2</v>
      </c>
      <c r="L27" s="11">
        <v>3.0099999999999998E-2</v>
      </c>
      <c r="M27" s="11">
        <v>-3.4053245799999798E-3</v>
      </c>
      <c r="N27" s="5">
        <v>9.0000000000000011E-3</v>
      </c>
      <c r="O27" s="5">
        <v>4.599999999999993E-3</v>
      </c>
      <c r="P27" s="5">
        <v>-1.3722484460000128E-2</v>
      </c>
      <c r="Q27" s="5">
        <v>7.5187969924812581E-3</v>
      </c>
      <c r="R27" s="10">
        <v>3.4128513541000001E-2</v>
      </c>
      <c r="S27" s="5">
        <v>-3.2102171159888893E-2</v>
      </c>
      <c r="T27" s="5">
        <v>5.0249999999999991E-3</v>
      </c>
    </row>
    <row r="28" spans="1:20" x14ac:dyDescent="0.3">
      <c r="A28" s="3">
        <v>19533</v>
      </c>
      <c r="B28" s="4">
        <f t="shared" si="0"/>
        <v>-2.8502396941847086E-2</v>
      </c>
      <c r="C28" s="4">
        <f t="shared" si="1"/>
        <v>-2.8248263131320641E-2</v>
      </c>
      <c r="D28" s="5">
        <v>6.0813704496788003E-2</v>
      </c>
      <c r="E28" s="5">
        <v>6.0891938250428809E-2</v>
      </c>
      <c r="F28" s="5">
        <v>0.10920770877944325</v>
      </c>
      <c r="G28" s="5">
        <v>0.55686274509803924</v>
      </c>
      <c r="H28" s="10">
        <v>2.3681310219999998E-3</v>
      </c>
      <c r="I28" s="5">
        <v>0.80821087713982731</v>
      </c>
      <c r="J28" s="5">
        <v>2.5878649356623266E-2</v>
      </c>
      <c r="K28" s="11">
        <v>1.7899999999999999E-2</v>
      </c>
      <c r="L28" s="11">
        <v>2.8400000000000002E-2</v>
      </c>
      <c r="M28" s="11">
        <v>3.3089476712000021E-2</v>
      </c>
      <c r="N28" s="5">
        <v>1.0500000000000002E-2</v>
      </c>
      <c r="O28" s="5">
        <v>5.9000000000000025E-3</v>
      </c>
      <c r="P28" s="5">
        <v>1.4890269030001235E-3</v>
      </c>
      <c r="Q28" s="5">
        <v>3.7313432835819338E-3</v>
      </c>
      <c r="R28" s="10">
        <v>3.4576053054000001E-2</v>
      </c>
      <c r="S28" s="5">
        <v>-2.2973263131320643E-2</v>
      </c>
      <c r="T28" s="5">
        <v>5.2749999999999993E-3</v>
      </c>
    </row>
    <row r="29" spans="1:20" x14ac:dyDescent="0.3">
      <c r="A29" s="3">
        <v>19534</v>
      </c>
      <c r="B29" s="4">
        <f t="shared" si="0"/>
        <v>7.0517430824115324E-2</v>
      </c>
      <c r="C29" s="4">
        <f t="shared" si="1"/>
        <v>7.3390231794445926E-2</v>
      </c>
      <c r="D29" s="5">
        <v>5.8444175735590492E-2</v>
      </c>
      <c r="E29" s="5">
        <v>5.8562197092084003E-2</v>
      </c>
      <c r="F29" s="5">
        <v>0.1011688835147118</v>
      </c>
      <c r="G29" s="5">
        <v>0.57768924302788849</v>
      </c>
      <c r="H29" s="10">
        <v>1.3666188909999999E-3</v>
      </c>
      <c r="I29" s="5">
        <v>0.75970096119615527</v>
      </c>
      <c r="J29" s="5">
        <v>2.4823248782877824E-2</v>
      </c>
      <c r="K29" s="11">
        <v>1.6E-2</v>
      </c>
      <c r="L29" s="11">
        <v>2.7400000000000001E-2</v>
      </c>
      <c r="M29" s="11">
        <v>2.3114493043999929E-2</v>
      </c>
      <c r="N29" s="5">
        <v>1.14E-2</v>
      </c>
      <c r="O29" s="5">
        <v>6.1000000000000013E-3</v>
      </c>
      <c r="P29" s="5">
        <v>9.5818267440002103E-3</v>
      </c>
      <c r="Q29" s="5">
        <v>0</v>
      </c>
      <c r="R29" s="10">
        <v>3.3936323535E-2</v>
      </c>
      <c r="S29" s="5">
        <v>7.7865231794445933E-2</v>
      </c>
      <c r="T29" s="5">
        <v>4.4749999999999998E-3</v>
      </c>
    </row>
    <row r="30" spans="1:20" x14ac:dyDescent="0.3">
      <c r="A30" s="3">
        <v>19541</v>
      </c>
      <c r="B30" s="4">
        <f t="shared" si="0"/>
        <v>9.1019176688372047E-2</v>
      </c>
      <c r="C30" s="4">
        <f t="shared" si="1"/>
        <v>9.5671169128623168E-2</v>
      </c>
      <c r="D30" s="5">
        <v>5.456570155902004E-2</v>
      </c>
      <c r="E30" s="5">
        <v>5.6214149139579353E-2</v>
      </c>
      <c r="F30" s="5">
        <v>9.4654788418708224E-2</v>
      </c>
      <c r="G30" s="5">
        <v>0.57647058823529418</v>
      </c>
      <c r="H30" s="10">
        <v>1.1954860810000001E-3</v>
      </c>
      <c r="I30" s="5">
        <v>0.80491581825969494</v>
      </c>
      <c r="J30" s="5">
        <v>2.2094365151245091E-2</v>
      </c>
      <c r="K30" s="11">
        <v>1.03E-2</v>
      </c>
      <c r="L30" s="11">
        <v>2.7799999999999998E-2</v>
      </c>
      <c r="M30" s="11">
        <v>3.9105658879999838E-2</v>
      </c>
      <c r="N30" s="5">
        <v>1.7499999999999998E-2</v>
      </c>
      <c r="O30" s="5">
        <v>6.4999999999999988E-3</v>
      </c>
      <c r="P30" s="5">
        <v>-2.6336013519998591E-3</v>
      </c>
      <c r="Q30" s="5">
        <v>0</v>
      </c>
      <c r="R30" s="10">
        <v>3.2749836327000001E-2</v>
      </c>
      <c r="S30" s="5">
        <v>9.9671169128623172E-2</v>
      </c>
      <c r="T30" s="5">
        <v>4.0000000000000001E-3</v>
      </c>
    </row>
    <row r="31" spans="1:20" x14ac:dyDescent="0.3">
      <c r="A31" s="3">
        <v>19542</v>
      </c>
      <c r="B31" s="4">
        <f t="shared" si="0"/>
        <v>8.9004749033384539E-2</v>
      </c>
      <c r="C31" s="4">
        <f t="shared" si="1"/>
        <v>9.3325543472279504E-2</v>
      </c>
      <c r="D31" s="5">
        <v>4.9640534063676821E-2</v>
      </c>
      <c r="E31" s="5">
        <v>4.9674546077423769E-2</v>
      </c>
      <c r="F31" s="5">
        <v>8.9695309825402261E-2</v>
      </c>
      <c r="G31" s="5">
        <v>0.55343511450381677</v>
      </c>
      <c r="H31" s="10">
        <v>2.0959836500000005E-3</v>
      </c>
      <c r="I31" s="5">
        <v>0.73246784397205655</v>
      </c>
      <c r="J31" s="5">
        <v>1.8358243495418633E-2</v>
      </c>
      <c r="K31" s="11">
        <v>6.4000000000000003E-3</v>
      </c>
      <c r="L31" s="11">
        <v>2.7199999999999998E-2</v>
      </c>
      <c r="M31" s="11">
        <v>1.793575517599999E-2</v>
      </c>
      <c r="N31" s="5">
        <v>2.0799999999999999E-2</v>
      </c>
      <c r="O31" s="5">
        <v>5.9000000000000025E-3</v>
      </c>
      <c r="P31" s="5">
        <v>-1.9269265211999898E-2</v>
      </c>
      <c r="Q31" s="5">
        <v>0</v>
      </c>
      <c r="R31" s="10">
        <v>3.2206924804000003E-2</v>
      </c>
      <c r="S31" s="5">
        <v>9.5900543472279498E-2</v>
      </c>
      <c r="T31" s="5">
        <v>2.575E-3</v>
      </c>
    </row>
    <row r="32" spans="1:20" x14ac:dyDescent="0.3">
      <c r="A32" s="3">
        <v>19543</v>
      </c>
      <c r="B32" s="4">
        <f t="shared" si="0"/>
        <v>0.10848199275988302</v>
      </c>
      <c r="C32" s="4">
        <f t="shared" si="1"/>
        <v>0.11476817350124517</v>
      </c>
      <c r="D32" s="5">
        <v>4.5496750232126272E-2</v>
      </c>
      <c r="E32" s="5">
        <v>4.9279249078109287E-2</v>
      </c>
      <c r="F32" s="5">
        <v>8.1398947694212312E-2</v>
      </c>
      <c r="G32" s="5">
        <v>0.55893536121673004</v>
      </c>
      <c r="H32" s="10">
        <v>2.4500627550000003E-3</v>
      </c>
      <c r="I32" s="5">
        <v>0.67774510347888817</v>
      </c>
      <c r="J32" s="5">
        <v>1.6884188602312594E-2</v>
      </c>
      <c r="K32" s="11">
        <v>1.01E-2</v>
      </c>
      <c r="L32" s="11">
        <v>2.7099999999999999E-2</v>
      </c>
      <c r="M32" s="11">
        <v>8.7420082400000432E-3</v>
      </c>
      <c r="N32" s="5">
        <v>1.7000000000000001E-2</v>
      </c>
      <c r="O32" s="5">
        <v>5.7999999999999996E-3</v>
      </c>
      <c r="P32" s="5">
        <v>1.0884205599999142E-3</v>
      </c>
      <c r="Q32" s="5">
        <v>-3.7174721189590088E-3</v>
      </c>
      <c r="R32" s="10">
        <v>3.2790480322999999E-2</v>
      </c>
      <c r="S32" s="5">
        <v>0.11636817350124518</v>
      </c>
      <c r="T32" s="5">
        <v>1.6000000000000001E-3</v>
      </c>
    </row>
    <row r="33" spans="1:20" x14ac:dyDescent="0.3">
      <c r="A33" s="3">
        <v>19544</v>
      </c>
      <c r="B33" s="4">
        <f t="shared" si="0"/>
        <v>0.12377626099942483</v>
      </c>
      <c r="C33" s="4">
        <f t="shared" si="1"/>
        <v>0.13209532385497946</v>
      </c>
      <c r="D33" s="5">
        <v>4.2801556420233471E-2</v>
      </c>
      <c r="E33" s="5">
        <v>4.497663551401869E-2</v>
      </c>
      <c r="F33" s="5">
        <v>7.6987215119510843E-2</v>
      </c>
      <c r="G33" s="5">
        <v>0.55595667870036103</v>
      </c>
      <c r="H33" s="10">
        <v>2.6482810980000006E-3</v>
      </c>
      <c r="I33" s="5">
        <v>0.60411978535572097</v>
      </c>
      <c r="J33" s="5">
        <v>2.6992812470241084E-2</v>
      </c>
      <c r="K33" s="11">
        <v>1.15E-2</v>
      </c>
      <c r="L33" s="11">
        <v>2.7199999999999998E-2</v>
      </c>
      <c r="M33" s="11">
        <v>4.4863304000000159E-3</v>
      </c>
      <c r="N33" s="5">
        <v>1.5699999999999999E-2</v>
      </c>
      <c r="O33" s="5">
        <v>5.5000000000000049E-3</v>
      </c>
      <c r="P33" s="5">
        <v>3.7347366000000104E-3</v>
      </c>
      <c r="Q33" s="5">
        <v>-3.7313432835821558E-3</v>
      </c>
      <c r="R33" s="10">
        <v>3.2497242338999997E-2</v>
      </c>
      <c r="S33" s="5">
        <v>0.13462032385497946</v>
      </c>
      <c r="T33" s="5">
        <v>2.5249999999999999E-3</v>
      </c>
    </row>
    <row r="34" spans="1:20" x14ac:dyDescent="0.3">
      <c r="A34" s="3">
        <v>19551</v>
      </c>
      <c r="B34" s="4">
        <f t="shared" si="0"/>
        <v>2.6234519650021826E-2</v>
      </c>
      <c r="C34" s="4">
        <f t="shared" si="1"/>
        <v>2.6658096132021709E-2</v>
      </c>
      <c r="D34" s="5">
        <v>4.2646254784034998E-2</v>
      </c>
      <c r="E34" s="5">
        <v>4.2437431991294891E-2</v>
      </c>
      <c r="F34" s="5">
        <v>8.0918534718425375E-2</v>
      </c>
      <c r="G34" s="5">
        <v>0.52702702702702708</v>
      </c>
      <c r="H34" s="10">
        <v>5.6039771879999997E-3</v>
      </c>
      <c r="I34" s="5">
        <v>0.60776177690993416</v>
      </c>
      <c r="J34" s="5">
        <v>2.7968341933268071E-2</v>
      </c>
      <c r="K34" s="11">
        <v>1.2800000000000001E-2</v>
      </c>
      <c r="L34" s="11">
        <v>2.8799999999999999E-2</v>
      </c>
      <c r="M34" s="11">
        <v>-2.3287914574000146E-2</v>
      </c>
      <c r="N34" s="5">
        <v>1.6E-2</v>
      </c>
      <c r="O34" s="5">
        <v>4.5999999999999965E-3</v>
      </c>
      <c r="P34" s="5">
        <v>1.6402386786000256E-2</v>
      </c>
      <c r="Q34" s="5">
        <v>0</v>
      </c>
      <c r="R34" s="10">
        <v>3.2805541947999999E-2</v>
      </c>
      <c r="S34" s="5">
        <v>2.9533096132021708E-2</v>
      </c>
      <c r="T34" s="5">
        <v>2.875E-3</v>
      </c>
    </row>
    <row r="35" spans="1:20" x14ac:dyDescent="0.3">
      <c r="A35" s="3">
        <v>19552</v>
      </c>
      <c r="B35" s="4">
        <f t="shared" si="0"/>
        <v>0.12045126686135305</v>
      </c>
      <c r="C35" s="4">
        <f t="shared" si="1"/>
        <v>0.12841538682354456</v>
      </c>
      <c r="D35" s="5">
        <v>3.8264684377284912E-2</v>
      </c>
      <c r="E35" s="5">
        <v>4.1413874967027177E-2</v>
      </c>
      <c r="F35" s="5">
        <v>7.8479161589081164E-2</v>
      </c>
      <c r="G35" s="5">
        <v>0.48757763975155277</v>
      </c>
      <c r="H35" s="10">
        <v>2.0188678080000004E-3</v>
      </c>
      <c r="I35" s="5">
        <v>0.55164163232752894</v>
      </c>
      <c r="J35" s="5">
        <v>2.5363932271466653E-2</v>
      </c>
      <c r="K35" s="11">
        <v>1.41E-2</v>
      </c>
      <c r="L35" s="11">
        <v>2.93E-2</v>
      </c>
      <c r="M35" s="11">
        <v>-2.5551554799996268E-4</v>
      </c>
      <c r="N35" s="5">
        <v>1.52E-2</v>
      </c>
      <c r="O35" s="5">
        <v>4.5999999999999999E-3</v>
      </c>
      <c r="P35" s="5">
        <v>1.2501860699998257E-3</v>
      </c>
      <c r="Q35" s="5">
        <v>0</v>
      </c>
      <c r="R35" s="10">
        <v>3.4491464022999997E-2</v>
      </c>
      <c r="S35" s="5">
        <v>0.13161538682354457</v>
      </c>
      <c r="T35" s="5">
        <v>3.2000000000000002E-3</v>
      </c>
    </row>
    <row r="36" spans="1:20" x14ac:dyDescent="0.3">
      <c r="A36" s="3">
        <v>19553</v>
      </c>
      <c r="B36" s="4">
        <f t="shared" si="0"/>
        <v>6.3101460345027338E-2</v>
      </c>
      <c r="C36" s="4">
        <f t="shared" si="1"/>
        <v>6.5364503235894267E-2</v>
      </c>
      <c r="D36" s="5">
        <v>3.7096404854591251E-2</v>
      </c>
      <c r="E36" s="5">
        <v>3.7517369152385363E-2</v>
      </c>
      <c r="F36" s="5">
        <v>7.8772612777650561E-2</v>
      </c>
      <c r="G36" s="5">
        <v>0.47093023255813959</v>
      </c>
      <c r="H36" s="10">
        <v>8.9136029139999986E-3</v>
      </c>
      <c r="I36" s="5">
        <v>0.53362479105053362</v>
      </c>
      <c r="J36" s="5">
        <v>2.5633980800136215E-2</v>
      </c>
      <c r="K36" s="11">
        <v>2.07E-2</v>
      </c>
      <c r="L36" s="11">
        <v>2.98E-2</v>
      </c>
      <c r="M36" s="11">
        <v>-2.5756497839999337E-3</v>
      </c>
      <c r="N36" s="5">
        <v>9.1000000000000004E-3</v>
      </c>
      <c r="O36" s="5">
        <v>4.5999999999999999E-3</v>
      </c>
      <c r="P36" s="5">
        <v>2.2313081920000144E-3</v>
      </c>
      <c r="Q36" s="5">
        <v>7.4906367041198685E-3</v>
      </c>
      <c r="R36" s="10">
        <v>3.5864205348E-2</v>
      </c>
      <c r="S36" s="5">
        <v>6.8889503235894267E-2</v>
      </c>
      <c r="T36" s="5">
        <v>3.5249999999999999E-3</v>
      </c>
    </row>
    <row r="37" spans="1:20" x14ac:dyDescent="0.3">
      <c r="A37" s="3">
        <v>19554</v>
      </c>
      <c r="B37" s="4">
        <f t="shared" si="0"/>
        <v>4.7767788312970239E-2</v>
      </c>
      <c r="C37" s="4">
        <f t="shared" si="1"/>
        <v>4.9180251425298957E-2</v>
      </c>
      <c r="D37" s="5">
        <v>3.6059806508355323E-2</v>
      </c>
      <c r="E37" s="5">
        <v>3.6036036036036036E-2</v>
      </c>
      <c r="F37" s="5">
        <v>7.9595426561125782E-2</v>
      </c>
      <c r="G37" s="5">
        <v>0.45303867403314912</v>
      </c>
      <c r="H37" s="10">
        <v>5.0837608470000002E-3</v>
      </c>
      <c r="I37" s="5">
        <v>0.5098280098280098</v>
      </c>
      <c r="J37" s="5">
        <v>2.5244549543947777E-2</v>
      </c>
      <c r="K37" s="11">
        <v>2.5399999999999999E-2</v>
      </c>
      <c r="L37" s="11">
        <v>2.9499999999999998E-2</v>
      </c>
      <c r="M37" s="11">
        <v>1.3571590239999987E-2</v>
      </c>
      <c r="N37" s="5">
        <v>4.0999999999999995E-3</v>
      </c>
      <c r="O37" s="5">
        <v>4.7000000000000028E-3</v>
      </c>
      <c r="P37" s="5">
        <v>-2.4648976599999095E-3</v>
      </c>
      <c r="Q37" s="5">
        <v>-3.7174721189590088E-3</v>
      </c>
      <c r="R37" s="10">
        <v>3.6537338645E-2</v>
      </c>
      <c r="S37" s="5">
        <v>5.4355251425298956E-2</v>
      </c>
      <c r="T37" s="5">
        <v>5.1749999999999999E-3</v>
      </c>
    </row>
    <row r="38" spans="1:20" x14ac:dyDescent="0.3">
      <c r="A38" s="3">
        <v>19561</v>
      </c>
      <c r="B38" s="4">
        <f t="shared" si="0"/>
        <v>6.6512054120437453E-2</v>
      </c>
      <c r="C38" s="4">
        <f t="shared" si="1"/>
        <v>6.9210561055451508E-2</v>
      </c>
      <c r="D38" s="5">
        <v>3.5684818481848186E-2</v>
      </c>
      <c r="E38" s="5">
        <v>3.8156153506837223E-2</v>
      </c>
      <c r="F38" s="5">
        <v>7.6113861386138612E-2</v>
      </c>
      <c r="G38" s="5">
        <v>0.46883468834688347</v>
      </c>
      <c r="H38" s="10">
        <v>3.2889870860000011E-3</v>
      </c>
      <c r="I38" s="5">
        <v>0.53107719963266187</v>
      </c>
      <c r="J38" s="5">
        <v>2.669506808833615E-2</v>
      </c>
      <c r="K38" s="11">
        <v>2.2499999999999999E-2</v>
      </c>
      <c r="L38" s="11">
        <v>3.0300000000000001E-2</v>
      </c>
      <c r="M38" s="11">
        <v>-6.9223252659998957E-3</v>
      </c>
      <c r="N38" s="5">
        <v>7.8000000000000014E-3</v>
      </c>
      <c r="O38" s="5">
        <v>5.0000000000000044E-3</v>
      </c>
      <c r="P38" s="5">
        <v>5.1591704819998752E-3</v>
      </c>
      <c r="Q38" s="5">
        <v>0</v>
      </c>
      <c r="R38" s="10">
        <v>3.5675899017000003E-2</v>
      </c>
      <c r="S38" s="5">
        <v>7.5560561055451503E-2</v>
      </c>
      <c r="T38" s="5">
        <v>6.3499999999999997E-3</v>
      </c>
    </row>
    <row r="39" spans="1:20" x14ac:dyDescent="0.3">
      <c r="A39" s="3">
        <v>19562</v>
      </c>
      <c r="B39" s="4">
        <f t="shared" si="0"/>
        <v>-2.8263946577549874E-2</v>
      </c>
      <c r="C39" s="4">
        <f t="shared" si="1"/>
        <v>-2.8025016861872538E-2</v>
      </c>
      <c r="D39" s="5">
        <v>3.8322333404300621E-2</v>
      </c>
      <c r="E39" s="5">
        <v>3.9823008849557522E-2</v>
      </c>
      <c r="F39" s="5">
        <v>7.6644666808601242E-2</v>
      </c>
      <c r="G39" s="5">
        <v>0.5</v>
      </c>
      <c r="H39" s="10">
        <v>3.6883729780000005E-3</v>
      </c>
      <c r="I39" s="5">
        <v>0.55156459271886038</v>
      </c>
      <c r="J39" s="5">
        <v>2.5671521780858374E-2</v>
      </c>
      <c r="K39" s="11">
        <v>2.4900000000000002E-2</v>
      </c>
      <c r="L39" s="11">
        <v>2.9899999999999999E-2</v>
      </c>
      <c r="M39" s="11">
        <v>1.3675303524999904E-2</v>
      </c>
      <c r="N39" s="5">
        <v>4.9999999999999975E-3</v>
      </c>
      <c r="O39" s="5">
        <v>4.9999999999999975E-3</v>
      </c>
      <c r="P39" s="5">
        <v>-2.1823655884999793E-2</v>
      </c>
      <c r="Q39" s="5">
        <v>1.4925373134328401E-2</v>
      </c>
      <c r="R39" s="10">
        <v>3.5933458974999999E-2</v>
      </c>
      <c r="S39" s="5">
        <v>-2.240001686187254E-2</v>
      </c>
      <c r="T39" s="5">
        <v>5.6249999999999998E-3</v>
      </c>
    </row>
    <row r="40" spans="1:20" x14ac:dyDescent="0.3">
      <c r="A40" s="3">
        <v>19563</v>
      </c>
      <c r="B40" s="4">
        <f t="shared" si="0"/>
        <v>-3.4415367160825536E-2</v>
      </c>
      <c r="C40" s="4">
        <f t="shared" si="1"/>
        <v>-3.4040485144909725E-2</v>
      </c>
      <c r="D40" s="5">
        <v>4.0573318632855571E-2</v>
      </c>
      <c r="E40" s="5">
        <v>3.8728688697116397E-2</v>
      </c>
      <c r="F40" s="5">
        <v>7.6295479603087094E-2</v>
      </c>
      <c r="G40" s="5">
        <v>0.53179190751445093</v>
      </c>
      <c r="H40" s="10">
        <v>2.5187611249999999E-3</v>
      </c>
      <c r="I40" s="5">
        <v>0.57190952130457662</v>
      </c>
      <c r="J40" s="5">
        <v>2.9363038679169319E-2</v>
      </c>
      <c r="K40" s="11">
        <v>2.8399999999999998E-2</v>
      </c>
      <c r="L40" s="11">
        <v>3.2399999999999998E-2</v>
      </c>
      <c r="M40" s="11">
        <v>-3.4405215850000226E-2</v>
      </c>
      <c r="N40" s="5">
        <v>4.0000000000000001E-3</v>
      </c>
      <c r="O40" s="5">
        <v>5.1000000000000004E-3</v>
      </c>
      <c r="P40" s="5">
        <v>5.6627679780002493E-3</v>
      </c>
      <c r="Q40" s="5">
        <v>7.3529411764705621E-3</v>
      </c>
      <c r="R40" s="10">
        <v>3.5898558116999997E-2</v>
      </c>
      <c r="S40" s="5">
        <v>-2.7815485144909724E-2</v>
      </c>
      <c r="T40" s="5">
        <v>6.2250000000000005E-3</v>
      </c>
    </row>
    <row r="41" spans="1:20" x14ac:dyDescent="0.3">
      <c r="A41" s="3">
        <v>19564</v>
      </c>
      <c r="B41" s="4">
        <f t="shared" si="0"/>
        <v>3.3240666989651682E-2</v>
      </c>
      <c r="C41" s="4">
        <f t="shared" si="1"/>
        <v>3.4039285778347909E-2</v>
      </c>
      <c r="D41" s="5">
        <v>3.7283051210627811E-2</v>
      </c>
      <c r="E41" s="5">
        <v>3.85980479148181E-2</v>
      </c>
      <c r="F41" s="5">
        <v>7.306620955646026E-2</v>
      </c>
      <c r="G41" s="5">
        <v>0.51026392961876832</v>
      </c>
      <c r="H41" s="10">
        <v>4.3938031079999986E-3</v>
      </c>
      <c r="I41" s="5">
        <v>0.54417682743708329</v>
      </c>
      <c r="J41" s="5">
        <v>2.6150400890641919E-2</v>
      </c>
      <c r="K41" s="11">
        <v>3.2099999999999997E-2</v>
      </c>
      <c r="L41" s="11">
        <v>3.4500000000000003E-2</v>
      </c>
      <c r="M41" s="11">
        <v>-2.8771080961999984E-2</v>
      </c>
      <c r="N41" s="5">
        <v>2.4000000000000063E-3</v>
      </c>
      <c r="O41" s="5">
        <v>6.2000000000000041E-3</v>
      </c>
      <c r="P41" s="5">
        <v>-2.2082838979998742E-3</v>
      </c>
      <c r="Q41" s="5">
        <v>7.2992700729928028E-3</v>
      </c>
      <c r="R41" s="10">
        <v>3.5515525771999998E-2</v>
      </c>
      <c r="S41" s="5">
        <v>4.1139285778347912E-2</v>
      </c>
      <c r="T41" s="5">
        <v>7.0999999999999995E-3</v>
      </c>
    </row>
    <row r="42" spans="1:20" x14ac:dyDescent="0.3">
      <c r="A42" s="3">
        <v>19571</v>
      </c>
      <c r="B42" s="4">
        <f t="shared" si="0"/>
        <v>-5.0750080332223092E-2</v>
      </c>
      <c r="C42" s="4">
        <f t="shared" si="1"/>
        <v>-4.9880914005166858E-2</v>
      </c>
      <c r="D42" s="5">
        <v>3.9220131489458174E-2</v>
      </c>
      <c r="E42" s="5">
        <v>3.9990753582986593E-2</v>
      </c>
      <c r="F42" s="5">
        <v>7.7080027204715476E-2</v>
      </c>
      <c r="G42" s="5">
        <v>0.50882352941176467</v>
      </c>
      <c r="H42" s="10">
        <v>2.2882802439999996E-3</v>
      </c>
      <c r="I42" s="5">
        <v>0.59981887491838848</v>
      </c>
      <c r="J42" s="5">
        <v>2.6600729961264214E-2</v>
      </c>
      <c r="K42" s="11">
        <v>3.0800000000000001E-2</v>
      </c>
      <c r="L42" s="11">
        <v>3.3099999999999997E-2</v>
      </c>
      <c r="M42" s="11">
        <v>3.4697252399999989E-2</v>
      </c>
      <c r="N42" s="5">
        <v>2.2999999999999965E-3</v>
      </c>
      <c r="O42" s="5">
        <v>7.6999999999999985E-3</v>
      </c>
      <c r="P42" s="5">
        <v>-3.6812634999994209E-4</v>
      </c>
      <c r="Q42" s="5">
        <v>7.2463768115942351E-3</v>
      </c>
      <c r="R42" s="10">
        <v>3.5333997417000003E-2</v>
      </c>
      <c r="S42" s="5">
        <v>-4.1855914005166861E-2</v>
      </c>
      <c r="T42" s="5">
        <v>8.0249999999999991E-3</v>
      </c>
    </row>
    <row r="43" spans="1:20" x14ac:dyDescent="0.3">
      <c r="A43" s="3">
        <v>19572</v>
      </c>
      <c r="B43" s="4">
        <f t="shared" si="0"/>
        <v>7.5114482765791274E-2</v>
      </c>
      <c r="C43" s="4">
        <f t="shared" si="1"/>
        <v>7.8608215296961201E-2</v>
      </c>
      <c r="D43" s="5">
        <v>3.652100485539371E-2</v>
      </c>
      <c r="E43" s="5">
        <v>3.6474804975753741E-2</v>
      </c>
      <c r="F43" s="5">
        <v>7.2197593413552891E-2</v>
      </c>
      <c r="G43" s="5">
        <v>0.50584795321637432</v>
      </c>
      <c r="H43" s="10">
        <v>1.3628526489999999E-3</v>
      </c>
      <c r="I43" s="5">
        <v>0.56587653241669811</v>
      </c>
      <c r="J43" s="5">
        <v>3.0528885528872302E-2</v>
      </c>
      <c r="K43" s="11">
        <v>3.2899999999999999E-2</v>
      </c>
      <c r="L43" s="11">
        <v>3.61E-2</v>
      </c>
      <c r="M43" s="11">
        <v>-4.2008859079999961E-2</v>
      </c>
      <c r="N43" s="5">
        <v>3.2000000000000015E-3</v>
      </c>
      <c r="O43" s="5">
        <v>7.1999999999999981E-3</v>
      </c>
      <c r="P43" s="5">
        <v>-3.7892148200000531E-3</v>
      </c>
      <c r="Q43" s="5">
        <v>1.0791366906474753E-2</v>
      </c>
      <c r="R43" s="10">
        <v>3.4901229291999999E-2</v>
      </c>
      <c r="S43" s="5">
        <v>8.6308215296961199E-2</v>
      </c>
      <c r="T43" s="5">
        <v>7.7000000000000002E-3</v>
      </c>
    </row>
    <row r="44" spans="1:20" x14ac:dyDescent="0.3">
      <c r="A44" s="3">
        <v>19573</v>
      </c>
      <c r="B44" s="4">
        <f t="shared" si="0"/>
        <v>-0.10835223053991301</v>
      </c>
      <c r="C44" s="4">
        <f t="shared" si="1"/>
        <v>-0.10353313282125627</v>
      </c>
      <c r="D44" s="5">
        <v>4.1489863272041488E-2</v>
      </c>
      <c r="E44" s="5">
        <v>3.8920831490490936E-2</v>
      </c>
      <c r="F44" s="5">
        <v>8.1801037246581804E-2</v>
      </c>
      <c r="G44" s="5">
        <v>0.50720461095100866</v>
      </c>
      <c r="H44" s="10">
        <v>4.2182257610000008E-3</v>
      </c>
      <c r="I44" s="5">
        <v>0.62415077799693186</v>
      </c>
      <c r="J44" s="5">
        <v>3.4362722298313365E-2</v>
      </c>
      <c r="K44" s="11">
        <v>3.5299999999999998E-2</v>
      </c>
      <c r="L44" s="11">
        <v>3.6400000000000002E-2</v>
      </c>
      <c r="M44" s="11">
        <v>3.669533767999944E-3</v>
      </c>
      <c r="N44" s="5">
        <v>1.1000000000000038E-3</v>
      </c>
      <c r="O44" s="5">
        <v>8.0999999999999961E-3</v>
      </c>
      <c r="P44" s="5">
        <v>-6.1725897179999434E-3</v>
      </c>
      <c r="Q44" s="5">
        <v>7.1174377224199059E-3</v>
      </c>
      <c r="R44" s="10">
        <v>3.5258507444999997E-2</v>
      </c>
      <c r="S44" s="5">
        <v>-9.5308132821256275E-2</v>
      </c>
      <c r="T44" s="5">
        <v>8.2249999999999997E-3</v>
      </c>
    </row>
    <row r="45" spans="1:20" x14ac:dyDescent="0.3">
      <c r="A45" s="3">
        <v>19574</v>
      </c>
      <c r="B45" s="4">
        <f t="shared" si="0"/>
        <v>-6.310816713444943E-2</v>
      </c>
      <c r="C45" s="4">
        <f t="shared" si="1"/>
        <v>-6.1697803731294548E-2</v>
      </c>
      <c r="D45" s="5">
        <v>4.4761190297574395E-2</v>
      </c>
      <c r="E45" s="5">
        <v>4.2905081495685525E-2</v>
      </c>
      <c r="F45" s="5">
        <v>8.4271067766941737E-2</v>
      </c>
      <c r="G45" s="5">
        <v>0.53115727002967361</v>
      </c>
      <c r="H45" s="10">
        <v>9.6774923829999991E-3</v>
      </c>
      <c r="I45" s="5">
        <v>0.65367577864995752</v>
      </c>
      <c r="J45" s="5">
        <v>3.4873225680043765E-2</v>
      </c>
      <c r="K45" s="11">
        <v>3.04E-2</v>
      </c>
      <c r="L45" s="11">
        <v>3.2300000000000002E-2</v>
      </c>
      <c r="M45" s="11">
        <v>8.0208128449999805E-2</v>
      </c>
      <c r="N45" s="5">
        <v>1.9000000000000024E-3</v>
      </c>
      <c r="O45" s="5">
        <v>1.2200000000000003E-2</v>
      </c>
      <c r="P45" s="5">
        <v>2.4056201355000084E-2</v>
      </c>
      <c r="Q45" s="5">
        <v>3.5335689045936647E-3</v>
      </c>
      <c r="R45" s="10">
        <v>3.4095067210000003E-2</v>
      </c>
      <c r="S45" s="5">
        <v>-5.2872803731294549E-2</v>
      </c>
      <c r="T45" s="5">
        <v>8.8249999999999995E-3</v>
      </c>
    </row>
    <row r="46" spans="1:20" x14ac:dyDescent="0.3">
      <c r="A46" s="3">
        <v>19581</v>
      </c>
      <c r="B46" s="4">
        <f t="shared" si="0"/>
        <v>5.5249240416614477E-2</v>
      </c>
      <c r="C46" s="4">
        <f t="shared" si="1"/>
        <v>5.7235690366654039E-2</v>
      </c>
      <c r="D46" s="5">
        <v>4.2042755344418051E-2</v>
      </c>
      <c r="E46" s="5">
        <v>4.3339862879529872E-2</v>
      </c>
      <c r="F46" s="5">
        <v>7.4584323040380054E-2</v>
      </c>
      <c r="G46" s="5">
        <v>0.56369426751592355</v>
      </c>
      <c r="H46" s="10">
        <v>2.0399187189999997E-3</v>
      </c>
      <c r="I46" s="5">
        <v>0.66859163756826934</v>
      </c>
      <c r="J46" s="5">
        <v>2.8934376868075082E-2</v>
      </c>
      <c r="K46" s="11">
        <v>1.3000000000000001E-2</v>
      </c>
      <c r="L46" s="11">
        <v>3.2099999999999997E-2</v>
      </c>
      <c r="M46" s="11">
        <v>1.173146320000007E-2</v>
      </c>
      <c r="N46" s="5">
        <v>1.9099999999999995E-2</v>
      </c>
      <c r="O46" s="5">
        <v>1.0499999999999995E-2</v>
      </c>
      <c r="P46" s="5">
        <v>-7.281206768000148E-3</v>
      </c>
      <c r="Q46" s="5">
        <v>1.4084507042253502E-2</v>
      </c>
      <c r="R46" s="10">
        <v>3.1639984295E-2</v>
      </c>
      <c r="S46" s="5">
        <v>6.4835690366654042E-2</v>
      </c>
      <c r="T46" s="5">
        <v>7.6E-3</v>
      </c>
    </row>
    <row r="47" spans="1:20" x14ac:dyDescent="0.3">
      <c r="A47" s="3">
        <v>19582</v>
      </c>
      <c r="B47" s="4">
        <f t="shared" si="0"/>
        <v>7.8419289264418462E-2</v>
      </c>
      <c r="C47" s="4">
        <f t="shared" si="1"/>
        <v>8.1841179024963989E-2</v>
      </c>
      <c r="D47" s="5">
        <v>3.8240495137046859E-2</v>
      </c>
      <c r="E47" s="5">
        <v>3.9237922431390335E-2</v>
      </c>
      <c r="F47" s="5">
        <v>6.476569407603891E-2</v>
      </c>
      <c r="G47" s="5">
        <v>0.59044368600682595</v>
      </c>
      <c r="H47" s="10">
        <v>1.6180812309999997E-3</v>
      </c>
      <c r="I47" s="5">
        <v>0.62466016981053152</v>
      </c>
      <c r="J47" s="5">
        <v>2.1435577352341431E-2</v>
      </c>
      <c r="K47" s="11">
        <v>8.3000000000000001E-3</v>
      </c>
      <c r="L47" s="11">
        <v>3.2399999999999998E-2</v>
      </c>
      <c r="M47" s="11">
        <v>2.402630239999981E-3</v>
      </c>
      <c r="N47" s="5">
        <v>2.4099999999999996E-2</v>
      </c>
      <c r="O47" s="5">
        <v>9.8000000000000032E-3</v>
      </c>
      <c r="P47" s="5">
        <v>1.3173987745999982E-2</v>
      </c>
      <c r="Q47" s="5">
        <v>3.4722222222220989E-3</v>
      </c>
      <c r="R47" s="10">
        <v>3.0271659175E-2</v>
      </c>
      <c r="S47" s="5">
        <v>8.5091179024963992E-2</v>
      </c>
      <c r="T47" s="5">
        <v>3.2500000000000003E-3</v>
      </c>
    </row>
    <row r="48" spans="1:20" x14ac:dyDescent="0.3">
      <c r="A48" s="3">
        <v>19583</v>
      </c>
      <c r="B48" s="4">
        <f t="shared" si="0"/>
        <v>0.10837424967579321</v>
      </c>
      <c r="C48" s="4">
        <f t="shared" si="1"/>
        <v>0.11470226978956549</v>
      </c>
      <c r="D48" s="5">
        <v>3.4558529764282857E-2</v>
      </c>
      <c r="E48" s="5">
        <v>3.6230366492146594E-2</v>
      </c>
      <c r="F48" s="5">
        <v>5.7530962844586489E-2</v>
      </c>
      <c r="G48" s="5">
        <v>0.60069444444444442</v>
      </c>
      <c r="H48" s="10">
        <v>1.7947668180000001E-3</v>
      </c>
      <c r="I48" s="5">
        <v>0.56137119660207857</v>
      </c>
      <c r="J48" s="5">
        <v>1.39825511188217E-2</v>
      </c>
      <c r="K48" s="11">
        <v>2.4399999999999998E-2</v>
      </c>
      <c r="L48" s="11">
        <v>3.7999999999999999E-2</v>
      </c>
      <c r="M48" s="11">
        <v>-8.0970638810000106E-2</v>
      </c>
      <c r="N48" s="5">
        <v>1.3600000000000001E-2</v>
      </c>
      <c r="O48" s="5">
        <v>7.8000000000000014E-3</v>
      </c>
      <c r="P48" s="5">
        <v>2.5009618650000065E-2</v>
      </c>
      <c r="Q48" s="5">
        <v>0</v>
      </c>
      <c r="R48" s="10">
        <v>2.9796145499000001E-2</v>
      </c>
      <c r="S48" s="5">
        <v>0.11677726978956549</v>
      </c>
      <c r="T48" s="5">
        <v>2.075E-3</v>
      </c>
    </row>
    <row r="49" spans="1:20" x14ac:dyDescent="0.3">
      <c r="A49" s="3">
        <v>19584</v>
      </c>
      <c r="B49" s="4">
        <f t="shared" si="0"/>
        <v>0.10183455626085403</v>
      </c>
      <c r="C49" s="4">
        <f t="shared" si="1"/>
        <v>0.10785419891135617</v>
      </c>
      <c r="D49" s="5">
        <v>3.1697156312262269E-2</v>
      </c>
      <c r="E49" s="5">
        <v>3.3346036585365856E-2</v>
      </c>
      <c r="F49" s="5">
        <v>5.2345589567107408E-2</v>
      </c>
      <c r="G49" s="5">
        <v>0.60553633217993075</v>
      </c>
      <c r="H49" s="10">
        <v>3.0364572009999994E-3</v>
      </c>
      <c r="I49" s="5">
        <v>0.51177931979782398</v>
      </c>
      <c r="J49" s="5">
        <v>2.3686105736377618E-2</v>
      </c>
      <c r="K49" s="11">
        <v>2.7699999999999999E-2</v>
      </c>
      <c r="L49" s="11">
        <v>3.8199999999999998E-2</v>
      </c>
      <c r="M49" s="11">
        <v>7.3956226400000435E-3</v>
      </c>
      <c r="N49" s="5">
        <v>1.0499999999999999E-2</v>
      </c>
      <c r="O49" s="5">
        <v>7.6999999999999916E-3</v>
      </c>
      <c r="P49" s="5">
        <v>7.9931157299997224E-3</v>
      </c>
      <c r="Q49" s="5">
        <v>0</v>
      </c>
      <c r="R49" s="10">
        <v>3.0767777967000001E-2</v>
      </c>
      <c r="S49" s="5">
        <v>0.11395419891135616</v>
      </c>
      <c r="T49" s="5">
        <v>6.0999999999999995E-3</v>
      </c>
    </row>
    <row r="50" spans="1:20" x14ac:dyDescent="0.3">
      <c r="A50" s="3">
        <v>19591</v>
      </c>
      <c r="B50" s="4">
        <f t="shared" si="0"/>
        <v>9.4448871468661502E-3</v>
      </c>
      <c r="C50" s="4">
        <f t="shared" si="1"/>
        <v>9.5553465425671363E-3</v>
      </c>
      <c r="D50" s="5">
        <v>3.1926406926406928E-2</v>
      </c>
      <c r="E50" s="5">
        <v>3.1943692474282623E-2</v>
      </c>
      <c r="F50" s="5">
        <v>5.6096681096681096E-2</v>
      </c>
      <c r="G50" s="5">
        <v>0.56913183279742763</v>
      </c>
      <c r="H50" s="10">
        <v>1.9211095620000006E-3</v>
      </c>
      <c r="I50" s="5">
        <v>0.51686028153097008</v>
      </c>
      <c r="J50" s="5">
        <v>2.4984383092185966E-2</v>
      </c>
      <c r="K50" s="11">
        <v>2.7999999999999997E-2</v>
      </c>
      <c r="L50" s="11">
        <v>4.0300000000000002E-2</v>
      </c>
      <c r="M50" s="11">
        <v>5.3125308799999438E-3</v>
      </c>
      <c r="N50" s="5">
        <v>1.2300000000000005E-2</v>
      </c>
      <c r="O50" s="5">
        <v>7.1999999999999981E-3</v>
      </c>
      <c r="P50" s="5">
        <v>-3.928858055999962E-3</v>
      </c>
      <c r="Q50" s="5">
        <v>0</v>
      </c>
      <c r="R50" s="10">
        <v>3.1545421390000002E-2</v>
      </c>
      <c r="S50" s="5">
        <v>1.6480346542567137E-2</v>
      </c>
      <c r="T50" s="5">
        <v>6.9249999999999997E-3</v>
      </c>
    </row>
    <row r="51" spans="1:20" x14ac:dyDescent="0.3">
      <c r="A51" s="3">
        <v>19592</v>
      </c>
      <c r="B51" s="4">
        <f t="shared" si="0"/>
        <v>5.4927868318817866E-2</v>
      </c>
      <c r="C51" s="4">
        <f t="shared" si="1"/>
        <v>5.6859658224846517E-2</v>
      </c>
      <c r="D51" s="5">
        <v>3.0613990080383104E-2</v>
      </c>
      <c r="E51" s="5">
        <v>3.0504430811179279E-2</v>
      </c>
      <c r="F51" s="5">
        <v>5.8149478364973493E-2</v>
      </c>
      <c r="G51" s="5">
        <v>0.52647058823529413</v>
      </c>
      <c r="H51" s="10">
        <v>1.8354212970000006E-3</v>
      </c>
      <c r="I51" s="5">
        <v>0.48321939092604099</v>
      </c>
      <c r="J51" s="5">
        <v>2.6882159801315472E-2</v>
      </c>
      <c r="K51" s="11">
        <v>3.2099999999999997E-2</v>
      </c>
      <c r="L51" s="11">
        <v>4.19E-2</v>
      </c>
      <c r="M51" s="11">
        <v>-1.1206344150000103E-2</v>
      </c>
      <c r="N51" s="5">
        <v>9.8000000000000032E-3</v>
      </c>
      <c r="O51" s="5">
        <v>5.7999999999999996E-3</v>
      </c>
      <c r="P51" s="5">
        <v>-1.2922553097999834E-2</v>
      </c>
      <c r="Q51" s="5">
        <v>6.9204152249136008E-3</v>
      </c>
      <c r="R51" s="10">
        <v>3.2241310010000003E-2</v>
      </c>
      <c r="S51" s="5">
        <v>6.3859658224846516E-2</v>
      </c>
      <c r="T51" s="5">
        <v>6.9999999999999993E-3</v>
      </c>
    </row>
    <row r="52" spans="1:20" x14ac:dyDescent="0.3">
      <c r="A52" s="3">
        <v>19593</v>
      </c>
      <c r="B52" s="4">
        <f t="shared" si="0"/>
        <v>-2.9350764994868973E-2</v>
      </c>
      <c r="C52" s="4">
        <f t="shared" si="1"/>
        <v>-2.9156331494660508E-2</v>
      </c>
      <c r="D52" s="5">
        <v>3.1821378340365684E-2</v>
      </c>
      <c r="E52" s="5">
        <v>3.0369127516778522E-2</v>
      </c>
      <c r="F52" s="5">
        <v>6.0302390998593532E-2</v>
      </c>
      <c r="G52" s="5">
        <v>0.52769679300291539</v>
      </c>
      <c r="H52" s="10">
        <v>3.2673401149999996E-3</v>
      </c>
      <c r="I52" s="5">
        <v>0.49233789260385008</v>
      </c>
      <c r="J52" s="5">
        <v>3.0528520482765338E-2</v>
      </c>
      <c r="K52" s="11">
        <v>4.0399999999999998E-2</v>
      </c>
      <c r="L52" s="11">
        <v>4.2900000000000001E-2</v>
      </c>
      <c r="M52" s="11">
        <v>-3.8352897799999175E-3</v>
      </c>
      <c r="N52" s="5">
        <v>2.5000000000000022E-3</v>
      </c>
      <c r="O52" s="5">
        <v>6.6000000000000017E-3</v>
      </c>
      <c r="P52" s="5">
        <v>-2.9431776440002055E-3</v>
      </c>
      <c r="Q52" s="5">
        <v>6.8728522336769515E-3</v>
      </c>
      <c r="R52" s="10">
        <v>3.2871646407999999E-2</v>
      </c>
      <c r="S52" s="5">
        <v>-2.113133149466051E-2</v>
      </c>
      <c r="T52" s="5">
        <v>8.0249999999999991E-3</v>
      </c>
    </row>
    <row r="53" spans="1:20" x14ac:dyDescent="0.3">
      <c r="A53" s="3">
        <v>19594</v>
      </c>
      <c r="B53" s="4">
        <f t="shared" si="0"/>
        <v>4.9960079512576028E-2</v>
      </c>
      <c r="C53" s="4">
        <f t="shared" si="1"/>
        <v>5.1746544171694442E-2</v>
      </c>
      <c r="D53" s="5">
        <v>3.055601936884288E-2</v>
      </c>
      <c r="E53" s="5">
        <v>3.1400137268359642E-2</v>
      </c>
      <c r="F53" s="5">
        <v>5.6603773584905662E-2</v>
      </c>
      <c r="G53" s="5">
        <v>0.53982300884955747</v>
      </c>
      <c r="H53" s="10">
        <v>1.425419554E-3</v>
      </c>
      <c r="I53" s="5">
        <v>0.45778379651436646</v>
      </c>
      <c r="J53" s="5">
        <v>2.285629123836622E-2</v>
      </c>
      <c r="K53" s="11">
        <v>4.4900000000000002E-2</v>
      </c>
      <c r="L53" s="11">
        <v>4.4699999999999997E-2</v>
      </c>
      <c r="M53" s="11">
        <v>-1.3024951850000188E-2</v>
      </c>
      <c r="N53" s="5">
        <v>-2.0000000000000573E-4</v>
      </c>
      <c r="O53" s="5">
        <v>6.9999999999999993E-3</v>
      </c>
      <c r="P53" s="5">
        <v>3.3357563450000183E-2</v>
      </c>
      <c r="Q53" s="5">
        <v>3.4129692832762792E-3</v>
      </c>
      <c r="R53" s="10">
        <v>3.2523867594E-2</v>
      </c>
      <c r="S53" s="5">
        <v>6.184654417169444E-2</v>
      </c>
      <c r="T53" s="5">
        <v>1.01E-2</v>
      </c>
    </row>
    <row r="54" spans="1:20" x14ac:dyDescent="0.3">
      <c r="A54" s="3">
        <v>19601</v>
      </c>
      <c r="B54" s="4">
        <f t="shared" si="0"/>
        <v>-8.2480760375315959E-2</v>
      </c>
      <c r="C54" s="4">
        <f t="shared" si="1"/>
        <v>-8.0059538651598164E-2</v>
      </c>
      <c r="D54" s="5">
        <v>3.5056017347307553E-2</v>
      </c>
      <c r="E54" s="5">
        <v>3.4568781183178902E-2</v>
      </c>
      <c r="F54" s="5">
        <v>6.1257679797614741E-2</v>
      </c>
      <c r="G54" s="5">
        <v>0.57227138643067843</v>
      </c>
      <c r="H54" s="10">
        <v>3.0388097619999999E-3</v>
      </c>
      <c r="I54" s="5">
        <v>0.54979808300491406</v>
      </c>
      <c r="J54" s="5">
        <v>2.5593399195342665E-2</v>
      </c>
      <c r="K54" s="11">
        <v>3.3099999999999997E-2</v>
      </c>
      <c r="L54" s="11">
        <v>4.1099999999999998E-2</v>
      </c>
      <c r="M54" s="11">
        <v>6.0926043136000141E-2</v>
      </c>
      <c r="N54" s="5">
        <v>8.0000000000000002E-3</v>
      </c>
      <c r="O54" s="5">
        <v>7.5999999999999956E-3</v>
      </c>
      <c r="P54" s="5">
        <v>-1.7737617200000333E-2</v>
      </c>
      <c r="Q54" s="5">
        <v>0</v>
      </c>
      <c r="R54" s="10">
        <v>3.3403077408999997E-2</v>
      </c>
      <c r="S54" s="5">
        <v>-6.8834538651598165E-2</v>
      </c>
      <c r="T54" s="5">
        <v>1.1225000000000001E-2</v>
      </c>
    </row>
    <row r="55" spans="1:20" x14ac:dyDescent="0.3">
      <c r="A55" s="3">
        <v>19602</v>
      </c>
      <c r="B55" s="4">
        <f t="shared" si="0"/>
        <v>3.00462380956198E-2</v>
      </c>
      <c r="C55" s="4">
        <f t="shared" si="1"/>
        <v>3.0754586860685808E-2</v>
      </c>
      <c r="D55" s="5">
        <v>3.4258608573436398E-2</v>
      </c>
      <c r="E55" s="5">
        <v>3.4927458355722731E-2</v>
      </c>
      <c r="F55" s="5">
        <v>5.7273366127898802E-2</v>
      </c>
      <c r="G55" s="5">
        <v>0.59815950920245398</v>
      </c>
      <c r="H55" s="10">
        <v>1.5676724840000002E-3</v>
      </c>
      <c r="I55" s="5">
        <v>0.52917486185258034</v>
      </c>
      <c r="J55" s="5">
        <v>2.4269812943596255E-2</v>
      </c>
      <c r="K55" s="11">
        <v>2.46E-2</v>
      </c>
      <c r="L55" s="11">
        <v>4.07E-2</v>
      </c>
      <c r="M55" s="11">
        <v>1.5205989680000087E-2</v>
      </c>
      <c r="N55" s="5">
        <v>1.61E-2</v>
      </c>
      <c r="O55" s="5">
        <v>8.0999999999999961E-3</v>
      </c>
      <c r="P55" s="5">
        <v>-5.461934538000035E-3</v>
      </c>
      <c r="Q55" s="5">
        <v>6.8027210884353817E-3</v>
      </c>
      <c r="R55" s="10">
        <v>3.3608565462999999E-2</v>
      </c>
      <c r="S55" s="5">
        <v>3.9029586860685805E-2</v>
      </c>
      <c r="T55" s="5">
        <v>8.2749999999999994E-3</v>
      </c>
    </row>
    <row r="56" spans="1:20" x14ac:dyDescent="0.3">
      <c r="A56" s="3">
        <v>19603</v>
      </c>
      <c r="B56" s="4">
        <f t="shared" si="0"/>
        <v>-5.8871700568947465E-2</v>
      </c>
      <c r="C56" s="4">
        <f t="shared" si="1"/>
        <v>-5.7523883828809588E-2</v>
      </c>
      <c r="D56" s="5">
        <v>3.643497757847533E-2</v>
      </c>
      <c r="E56" s="5">
        <v>3.423455056179775E-2</v>
      </c>
      <c r="F56" s="5">
        <v>6.1098654708520175E-2</v>
      </c>
      <c r="G56" s="5">
        <v>0.59633027522935778</v>
      </c>
      <c r="H56" s="10">
        <v>3.3864095590000007E-3</v>
      </c>
      <c r="I56" s="5">
        <v>0.58434171062157414</v>
      </c>
      <c r="J56" s="5">
        <v>2.8312308239426341E-2</v>
      </c>
      <c r="K56" s="11">
        <v>2.4799999999999999E-2</v>
      </c>
      <c r="L56" s="11">
        <v>3.8699999999999998E-2</v>
      </c>
      <c r="M56" s="11">
        <v>3.757734079999997E-2</v>
      </c>
      <c r="N56" s="5">
        <v>1.3899999999999999E-2</v>
      </c>
      <c r="O56" s="5">
        <v>7.5999999999999956E-3</v>
      </c>
      <c r="P56" s="5">
        <v>-6.4141651469997729E-3</v>
      </c>
      <c r="Q56" s="5">
        <v>0</v>
      </c>
      <c r="R56" s="10">
        <v>3.2738615250999997E-2</v>
      </c>
      <c r="S56" s="5">
        <v>-5.1373883828809586E-2</v>
      </c>
      <c r="T56" s="5">
        <v>6.1500000000000001E-3</v>
      </c>
    </row>
    <row r="57" spans="1:20" x14ac:dyDescent="0.3">
      <c r="A57" s="3">
        <v>19604</v>
      </c>
      <c r="B57" s="4">
        <f t="shared" si="0"/>
        <v>8.5474197019110645E-2</v>
      </c>
      <c r="C57" s="4">
        <f t="shared" si="1"/>
        <v>8.9786702935594306E-2</v>
      </c>
      <c r="D57" s="5">
        <v>3.3557046979865772E-2</v>
      </c>
      <c r="E57" s="5">
        <v>3.5109830752610732E-2</v>
      </c>
      <c r="F57" s="5">
        <v>5.6272586473928757E-2</v>
      </c>
      <c r="G57" s="5">
        <v>0.59633027522935778</v>
      </c>
      <c r="H57" s="10">
        <v>2.1676941430000003E-3</v>
      </c>
      <c r="I57" s="5">
        <v>0.55042296513987887</v>
      </c>
      <c r="J57" s="5">
        <v>2.2761351627756551E-2</v>
      </c>
      <c r="K57" s="11">
        <v>2.2499999999999999E-2</v>
      </c>
      <c r="L57" s="11">
        <v>3.7999999999999999E-2</v>
      </c>
      <c r="M57" s="11">
        <v>1.8256735592000028E-2</v>
      </c>
      <c r="N57" s="5">
        <v>1.55E-2</v>
      </c>
      <c r="O57" s="5">
        <v>7.4999999999999997E-3</v>
      </c>
      <c r="P57" s="5">
        <v>-1.4126873832000175E-2</v>
      </c>
      <c r="Q57" s="5">
        <v>6.7567567567567988E-3</v>
      </c>
      <c r="R57" s="10">
        <v>3.2410834169000001E-2</v>
      </c>
      <c r="S57" s="5">
        <v>9.5986702935594304E-2</v>
      </c>
      <c r="T57" s="5">
        <v>6.1999999999999998E-3</v>
      </c>
    </row>
    <row r="58" spans="1:20" x14ac:dyDescent="0.3">
      <c r="A58" s="3">
        <v>19611</v>
      </c>
      <c r="B58" s="4">
        <f t="shared" si="0"/>
        <v>0.11795988950196179</v>
      </c>
      <c r="C58" s="4">
        <f t="shared" si="1"/>
        <v>0.12590322242299501</v>
      </c>
      <c r="D58" s="5">
        <v>2.9818628957885028E-2</v>
      </c>
      <c r="E58" s="5">
        <v>3.0580075662042877E-2</v>
      </c>
      <c r="F58" s="5">
        <v>4.7494620350445736E-2</v>
      </c>
      <c r="G58" s="5">
        <v>0.62783171521035597</v>
      </c>
      <c r="H58" s="10">
        <v>1.7035242120000003E-3</v>
      </c>
      <c r="I58" s="5">
        <v>0.54667986935252644</v>
      </c>
      <c r="J58" s="5">
        <v>2.2737600973699038E-2</v>
      </c>
      <c r="K58" s="11">
        <v>2.3900000000000001E-2</v>
      </c>
      <c r="L58" s="11">
        <v>3.9699999999999999E-2</v>
      </c>
      <c r="M58" s="11">
        <v>5.3523817999998613E-3</v>
      </c>
      <c r="N58" s="5">
        <v>1.5799999999999998E-2</v>
      </c>
      <c r="O58" s="5">
        <v>8.0000000000000002E-3</v>
      </c>
      <c r="P58" s="5">
        <v>2.7753696880000067E-2</v>
      </c>
      <c r="Q58" s="5">
        <v>0</v>
      </c>
      <c r="R58" s="10">
        <v>3.1713337958E-2</v>
      </c>
      <c r="S58" s="5">
        <v>0.131528222422995</v>
      </c>
      <c r="T58" s="5">
        <v>5.6249999999999998E-3</v>
      </c>
    </row>
    <row r="59" spans="1:20" x14ac:dyDescent="0.3">
      <c r="A59" s="3">
        <v>19612</v>
      </c>
      <c r="B59" s="4">
        <f t="shared" si="0"/>
        <v>-5.1857530164252062E-3</v>
      </c>
      <c r="C59" s="4">
        <f t="shared" si="1"/>
        <v>-5.2032348847398857E-3</v>
      </c>
      <c r="D59" s="5">
        <v>3.0012376237623761E-2</v>
      </c>
      <c r="E59" s="5">
        <v>2.9146634615384612E-2</v>
      </c>
      <c r="F59" s="5">
        <v>4.6875E-2</v>
      </c>
      <c r="G59" s="5">
        <v>0.64026402640264024</v>
      </c>
      <c r="H59" s="10">
        <v>1.9624594520000001E-3</v>
      </c>
      <c r="I59" s="5">
        <v>0.54082110064916067</v>
      </c>
      <c r="J59" s="5">
        <v>2.2482163583148963E-2</v>
      </c>
      <c r="K59" s="11">
        <v>2.3300000000000001E-2</v>
      </c>
      <c r="L59" s="11">
        <v>4.0399999999999998E-2</v>
      </c>
      <c r="M59" s="11">
        <v>-7.0425324999989769E-4</v>
      </c>
      <c r="N59" s="5">
        <v>1.7099999999999997E-2</v>
      </c>
      <c r="O59" s="5">
        <v>7.0000000000000062E-3</v>
      </c>
      <c r="P59" s="5">
        <v>-1.3998532030000232E-2</v>
      </c>
      <c r="Q59" s="5">
        <v>0</v>
      </c>
      <c r="R59" s="10">
        <v>3.2204264170000003E-2</v>
      </c>
      <c r="S59" s="5">
        <v>7.717651152601146E-4</v>
      </c>
      <c r="T59" s="5">
        <v>5.9750000000000003E-3</v>
      </c>
    </row>
    <row r="60" spans="1:20" x14ac:dyDescent="0.3">
      <c r="A60" s="3">
        <v>19613</v>
      </c>
      <c r="B60" s="4">
        <f t="shared" si="0"/>
        <v>3.3006999560697345E-2</v>
      </c>
      <c r="C60" s="4">
        <f t="shared" si="1"/>
        <v>3.3753247697964034E-2</v>
      </c>
      <c r="D60" s="5">
        <v>2.9372096508317097E-2</v>
      </c>
      <c r="E60" s="5">
        <v>2.8793888644042899E-2</v>
      </c>
      <c r="F60" s="5">
        <v>4.570657875018732E-2</v>
      </c>
      <c r="G60" s="5">
        <v>0.64262295081967213</v>
      </c>
      <c r="H60" s="10">
        <v>1.857088394E-3</v>
      </c>
      <c r="I60" s="5">
        <v>0.52751672109639047</v>
      </c>
      <c r="J60" s="5">
        <v>2.496340649526535E-2</v>
      </c>
      <c r="K60" s="11">
        <v>2.2799999999999997E-2</v>
      </c>
      <c r="L60" s="11">
        <v>4.0300000000000002E-2</v>
      </c>
      <c r="M60" s="11">
        <v>1.2582658429999949E-2</v>
      </c>
      <c r="N60" s="5">
        <v>1.7500000000000005E-2</v>
      </c>
      <c r="O60" s="5">
        <v>6.6999999999999976E-3</v>
      </c>
      <c r="P60" s="5">
        <v>4.0417178900000739E-3</v>
      </c>
      <c r="Q60" s="5">
        <v>6.7114093959730337E-3</v>
      </c>
      <c r="R60" s="10">
        <v>3.2286773976000001E-2</v>
      </c>
      <c r="S60" s="5">
        <v>3.9578247697964031E-2</v>
      </c>
      <c r="T60" s="5">
        <v>5.8250000000000003E-3</v>
      </c>
    </row>
    <row r="61" spans="1:20" x14ac:dyDescent="0.3">
      <c r="A61" s="3">
        <v>19614</v>
      </c>
      <c r="B61" s="4">
        <f t="shared" si="0"/>
        <v>7.101873510916587E-2</v>
      </c>
      <c r="C61" s="4">
        <f t="shared" si="1"/>
        <v>7.4020867354633466E-2</v>
      </c>
      <c r="D61" s="5">
        <v>2.8232005590496156E-2</v>
      </c>
      <c r="E61" s="5">
        <v>2.832305103757712E-2</v>
      </c>
      <c r="F61" s="5">
        <v>4.4584206848357795E-2</v>
      </c>
      <c r="G61" s="5">
        <v>0.63322884012539182</v>
      </c>
      <c r="H61" s="10">
        <v>9.6480053100000019E-4</v>
      </c>
      <c r="I61" s="5">
        <v>0.5059222583910058</v>
      </c>
      <c r="J61" s="5">
        <v>2.23243074528514E-2</v>
      </c>
      <c r="K61" s="11">
        <v>2.6000000000000002E-2</v>
      </c>
      <c r="L61" s="11">
        <v>4.1500000000000002E-2</v>
      </c>
      <c r="M61" s="11">
        <v>-7.477772499999924E-3</v>
      </c>
      <c r="N61" s="5">
        <v>1.55E-2</v>
      </c>
      <c r="O61" s="5">
        <v>6.8000000000000005E-3</v>
      </c>
      <c r="P61" s="5">
        <v>2.0372940043999588E-2</v>
      </c>
      <c r="Q61" s="5">
        <v>0</v>
      </c>
      <c r="R61" s="10">
        <v>3.3028779126000003E-2</v>
      </c>
      <c r="S61" s="5">
        <v>7.9720867354633462E-2</v>
      </c>
      <c r="T61" s="5">
        <v>5.6999999999999993E-3</v>
      </c>
    </row>
    <row r="62" spans="1:20" x14ac:dyDescent="0.3">
      <c r="A62" s="3">
        <v>19621</v>
      </c>
      <c r="B62" s="4">
        <f t="shared" si="0"/>
        <v>-2.8017128068673104E-2</v>
      </c>
      <c r="C62" s="4">
        <f t="shared" si="1"/>
        <v>-2.7807872064082799E-2</v>
      </c>
      <c r="D62" s="5">
        <v>2.93314162473041E-2</v>
      </c>
      <c r="E62" s="5">
        <v>2.9159519725557463E-2</v>
      </c>
      <c r="F62" s="5">
        <v>4.8454349388928834E-2</v>
      </c>
      <c r="G62" s="5">
        <v>0.60534124629080122</v>
      </c>
      <c r="H62" s="10">
        <v>1.3561195449999996E-3</v>
      </c>
      <c r="I62" s="5">
        <v>0.54572459155527264</v>
      </c>
      <c r="J62" s="5">
        <v>2.4075295489537057E-2</v>
      </c>
      <c r="K62" s="11">
        <v>2.7200000000000002E-2</v>
      </c>
      <c r="L62" s="11">
        <v>3.9800000000000002E-2</v>
      </c>
      <c r="M62" s="11">
        <v>3.441038517400008E-2</v>
      </c>
      <c r="N62" s="5">
        <v>1.26E-2</v>
      </c>
      <c r="O62" s="5">
        <v>6.5000000000000058E-3</v>
      </c>
      <c r="P62" s="5">
        <v>-5.8688370140000945E-3</v>
      </c>
      <c r="Q62" s="5">
        <v>3.3333333333334103E-3</v>
      </c>
      <c r="R62" s="10">
        <v>3.3420977175999997E-2</v>
      </c>
      <c r="S62" s="5">
        <v>-2.13078720640828E-2</v>
      </c>
      <c r="T62" s="5">
        <v>6.5000000000000006E-3</v>
      </c>
    </row>
    <row r="63" spans="1:20" x14ac:dyDescent="0.3">
      <c r="A63" s="3">
        <v>19622</v>
      </c>
      <c r="B63" s="4">
        <f t="shared" si="0"/>
        <v>-0.23783273036529975</v>
      </c>
      <c r="C63" s="4">
        <f t="shared" si="1"/>
        <v>-0.21310478060021174</v>
      </c>
      <c r="D63" s="5">
        <v>3.762557077625571E-2</v>
      </c>
      <c r="E63" s="5">
        <v>3.4546369277209457E-2</v>
      </c>
      <c r="F63" s="5">
        <v>6.3378995433789956E-2</v>
      </c>
      <c r="G63" s="5">
        <v>0.59365994236311237</v>
      </c>
      <c r="H63" s="10">
        <v>1.8095660124000008E-2</v>
      </c>
      <c r="I63" s="5">
        <v>0.68735746864310154</v>
      </c>
      <c r="J63" s="5">
        <v>2.6455443418721539E-2</v>
      </c>
      <c r="K63" s="11">
        <v>2.7300000000000001E-2</v>
      </c>
      <c r="L63" s="11">
        <v>4.0099999999999997E-2</v>
      </c>
      <c r="M63" s="11">
        <v>5.1401533279997746E-3</v>
      </c>
      <c r="N63" s="5">
        <v>1.2799999999999995E-2</v>
      </c>
      <c r="O63" s="5">
        <v>7.3999999999999899E-3</v>
      </c>
      <c r="P63" s="5">
        <v>6.4229266720001732E-3</v>
      </c>
      <c r="Q63" s="5">
        <v>3.3222591362125353E-3</v>
      </c>
      <c r="R63" s="10">
        <v>3.4039017430999997E-2</v>
      </c>
      <c r="S63" s="5">
        <v>-0.20630478060021173</v>
      </c>
      <c r="T63" s="5">
        <v>6.8000000000000005E-3</v>
      </c>
    </row>
    <row r="64" spans="1:20" x14ac:dyDescent="0.3">
      <c r="A64" s="3">
        <v>19623</v>
      </c>
      <c r="B64" s="4">
        <f t="shared" si="0"/>
        <v>2.7753386169732469E-2</v>
      </c>
      <c r="C64" s="4">
        <f t="shared" si="1"/>
        <v>2.8334168919077331E-2</v>
      </c>
      <c r="D64" s="5">
        <v>3.6964634796516793E-2</v>
      </c>
      <c r="E64" s="5">
        <v>3.5182679296346414E-2</v>
      </c>
      <c r="F64" s="5">
        <v>6.2733250399857818E-2</v>
      </c>
      <c r="G64" s="5">
        <v>0.58923512747875362</v>
      </c>
      <c r="H64" s="10">
        <v>3.8224271549473091E-3</v>
      </c>
      <c r="I64" s="5">
        <v>0.66634426059622098</v>
      </c>
      <c r="J64" s="5">
        <v>3.0601603714375633E-2</v>
      </c>
      <c r="K64" s="11">
        <v>2.7799999999999998E-2</v>
      </c>
      <c r="L64" s="11">
        <v>3.9800000000000002E-2</v>
      </c>
      <c r="M64" s="11">
        <v>1.3742506637000051E-2</v>
      </c>
      <c r="N64" s="5">
        <v>1.2000000000000004E-2</v>
      </c>
      <c r="O64" s="5">
        <v>7.1000000000000021E-3</v>
      </c>
      <c r="P64" s="5">
        <v>8.0497724579997598E-3</v>
      </c>
      <c r="Q64" s="5">
        <v>6.6225165562914245E-3</v>
      </c>
      <c r="R64" s="10">
        <v>3.4151626900000003E-2</v>
      </c>
      <c r="S64" s="5">
        <v>3.5159168919077333E-2</v>
      </c>
      <c r="T64" s="5">
        <v>6.8250000000000003E-3</v>
      </c>
    </row>
    <row r="65" spans="1:20" x14ac:dyDescent="0.3">
      <c r="A65" s="3">
        <v>19624</v>
      </c>
      <c r="B65" s="4">
        <f t="shared" si="0"/>
        <v>0.11956569610685125</v>
      </c>
      <c r="C65" s="4">
        <f t="shared" si="1"/>
        <v>0.12788998223328596</v>
      </c>
      <c r="D65" s="5">
        <v>3.375594294770206E-2</v>
      </c>
      <c r="E65" s="5">
        <v>3.4211371667202055E-2</v>
      </c>
      <c r="F65" s="5">
        <v>5.8161648177496035E-2</v>
      </c>
      <c r="G65" s="5">
        <v>0.5803814713896458</v>
      </c>
      <c r="H65" s="10">
        <v>5.2707732423123953E-3</v>
      </c>
      <c r="I65" s="5">
        <v>0.5916270510657875</v>
      </c>
      <c r="J65" s="5">
        <v>1.9968021526393473E-2</v>
      </c>
      <c r="K65" s="11">
        <v>2.87E-2</v>
      </c>
      <c r="L65" s="11">
        <v>3.95E-2</v>
      </c>
      <c r="M65" s="11">
        <v>1.4054451740000085E-2</v>
      </c>
      <c r="N65" s="5">
        <v>1.0800000000000001E-2</v>
      </c>
      <c r="O65" s="5">
        <v>6.8000000000000005E-3</v>
      </c>
      <c r="P65" s="5">
        <v>1.3177052279997881E-3</v>
      </c>
      <c r="Q65" s="5">
        <v>0</v>
      </c>
      <c r="R65" s="10">
        <v>3.3716009936999997E-2</v>
      </c>
      <c r="S65" s="5">
        <v>0.13483998223328597</v>
      </c>
      <c r="T65" s="5">
        <v>6.9499999999999996E-3</v>
      </c>
    </row>
    <row r="66" spans="1:20" x14ac:dyDescent="0.3">
      <c r="A66" s="3">
        <v>19631</v>
      </c>
      <c r="B66" s="4">
        <f t="shared" si="0"/>
        <v>5.3431683346881031E-2</v>
      </c>
      <c r="C66" s="4">
        <f t="shared" si="1"/>
        <v>5.5278722421734081E-2</v>
      </c>
      <c r="D66" s="5">
        <v>3.229683040408593E-2</v>
      </c>
      <c r="E66" s="5">
        <v>3.3442214963446876E-2</v>
      </c>
      <c r="F66" s="5">
        <v>5.5730809674027347E-2</v>
      </c>
      <c r="G66" s="5">
        <v>0.57951482479784366</v>
      </c>
      <c r="H66" s="10">
        <v>1.4518382881915772E-3</v>
      </c>
      <c r="I66" s="5">
        <v>0.58752857059133801</v>
      </c>
      <c r="J66" s="5">
        <v>1.4380137599130628E-2</v>
      </c>
      <c r="K66" s="11">
        <v>2.8900000000000002E-2</v>
      </c>
      <c r="L66" s="11">
        <v>4.0099999999999997E-2</v>
      </c>
      <c r="M66" s="11">
        <v>1.6005499279998503E-3</v>
      </c>
      <c r="N66" s="5">
        <v>1.1199999999999995E-2</v>
      </c>
      <c r="O66" s="5">
        <v>6.8999999999999895E-3</v>
      </c>
      <c r="P66" s="5">
        <v>9.2343753540000684E-3</v>
      </c>
      <c r="Q66" s="5">
        <v>3.2894736842106198E-3</v>
      </c>
      <c r="R66" s="10">
        <v>3.3503470934000003E-2</v>
      </c>
      <c r="S66" s="5">
        <v>6.2453722421734081E-2</v>
      </c>
      <c r="T66" s="5">
        <v>7.175E-3</v>
      </c>
    </row>
    <row r="67" spans="1:20" x14ac:dyDescent="0.3">
      <c r="A67" s="3">
        <v>19632</v>
      </c>
      <c r="B67" s="4">
        <f t="shared" ref="B67:B130" si="2">LN(1+S67) - LN(1+T67)</f>
        <v>4.1407750946035764E-2</v>
      </c>
      <c r="C67" s="4">
        <f t="shared" ref="C67:C130" si="3">S67-T67</f>
        <v>4.2582459733836044E-2</v>
      </c>
      <c r="D67" s="5">
        <v>3.1713997405218394E-2</v>
      </c>
      <c r="E67" s="5">
        <v>3.1073446327683621E-2</v>
      </c>
      <c r="F67" s="5">
        <v>5.5355340925472098E-2</v>
      </c>
      <c r="G67" s="5">
        <v>0.57291666666666674</v>
      </c>
      <c r="H67" s="10">
        <v>8.8691447399247086E-4</v>
      </c>
      <c r="I67" s="5">
        <v>0.56728157537347212</v>
      </c>
      <c r="J67" s="5">
        <v>1.8263319017388386E-2</v>
      </c>
      <c r="K67" s="11">
        <v>2.9900000000000003E-2</v>
      </c>
      <c r="L67" s="11">
        <v>4.07E-2</v>
      </c>
      <c r="M67" s="11">
        <v>2.9993247560000658E-3</v>
      </c>
      <c r="N67" s="5">
        <v>1.0799999999999997E-2</v>
      </c>
      <c r="O67" s="5">
        <v>6.0999999999999943E-3</v>
      </c>
      <c r="P67" s="5">
        <v>9.747999799998297E-4</v>
      </c>
      <c r="Q67" s="5">
        <v>3.2786885245901232E-3</v>
      </c>
      <c r="R67" s="10">
        <v>3.4254001240999997E-2</v>
      </c>
      <c r="S67" s="5">
        <v>4.9807459733836046E-2</v>
      </c>
      <c r="T67" s="5">
        <v>7.2250000000000005E-3</v>
      </c>
    </row>
    <row r="68" spans="1:20" x14ac:dyDescent="0.3">
      <c r="A68" s="3">
        <v>19633</v>
      </c>
      <c r="B68" s="4">
        <f t="shared" si="2"/>
        <v>3.2359340771210172E-2</v>
      </c>
      <c r="C68" s="4">
        <f t="shared" si="3"/>
        <v>3.313443987921761E-2</v>
      </c>
      <c r="D68" s="5">
        <v>3.0822873082287306E-2</v>
      </c>
      <c r="E68" s="5">
        <v>3.0482758620689655E-2</v>
      </c>
      <c r="F68" s="5">
        <v>5.5230125523012548E-2</v>
      </c>
      <c r="G68" s="5">
        <v>0.55808080808080807</v>
      </c>
      <c r="H68" s="10">
        <v>1.1866159686237422E-3</v>
      </c>
      <c r="I68" s="5">
        <v>0.54722362477653896</v>
      </c>
      <c r="J68" s="5">
        <v>1.031341287818378E-2</v>
      </c>
      <c r="K68" s="11">
        <v>3.3799999999999997E-2</v>
      </c>
      <c r="L68" s="11">
        <v>4.1000000000000002E-2</v>
      </c>
      <c r="M68" s="11">
        <v>5.608592603999929E-3</v>
      </c>
      <c r="N68" s="5">
        <v>7.200000000000005E-3</v>
      </c>
      <c r="O68" s="5">
        <v>5.2999999999999992E-3</v>
      </c>
      <c r="P68" s="5">
        <v>-1.6133051439999324E-3</v>
      </c>
      <c r="Q68" s="5">
        <v>3.2679738562091387E-3</v>
      </c>
      <c r="R68" s="10">
        <v>3.4872383451000001E-2</v>
      </c>
      <c r="S68" s="5">
        <v>4.0609439879217613E-2</v>
      </c>
      <c r="T68" s="5">
        <v>7.4750000000000007E-3</v>
      </c>
    </row>
    <row r="69" spans="1:20" x14ac:dyDescent="0.3">
      <c r="A69" s="3">
        <v>19634</v>
      </c>
      <c r="B69" s="4">
        <f t="shared" si="2"/>
        <v>4.7051832464387905E-2</v>
      </c>
      <c r="C69" s="4">
        <f t="shared" si="3"/>
        <v>4.8583427283964545E-2</v>
      </c>
      <c r="D69" s="5">
        <v>3.039189549453479E-2</v>
      </c>
      <c r="E69" s="5">
        <v>3.1134780827529695E-2</v>
      </c>
      <c r="F69" s="5">
        <v>5.3585710477206075E-2</v>
      </c>
      <c r="G69" s="5">
        <v>0.56716417910447758</v>
      </c>
      <c r="H69" s="10">
        <v>3.8872642430903661E-3</v>
      </c>
      <c r="I69" s="5">
        <v>0.52559145422373676</v>
      </c>
      <c r="J69" s="5">
        <v>8.9547749059595144E-3</v>
      </c>
      <c r="K69" s="11">
        <v>3.5200000000000002E-2</v>
      </c>
      <c r="L69" s="11">
        <v>4.1700000000000001E-2</v>
      </c>
      <c r="M69" s="11">
        <v>1.8852479560000912E-3</v>
      </c>
      <c r="N69" s="5">
        <v>6.4999999999999988E-3</v>
      </c>
      <c r="O69" s="5">
        <v>4.9999999999999975E-3</v>
      </c>
      <c r="P69" s="5">
        <v>1.1003170539998219E-3</v>
      </c>
      <c r="Q69" s="5">
        <v>6.514657980456029E-3</v>
      </c>
      <c r="R69" s="10">
        <v>3.5538806201000001E-2</v>
      </c>
      <c r="S69" s="5">
        <v>5.7033427283964544E-2</v>
      </c>
      <c r="T69" s="5">
        <v>8.4499999999999992E-3</v>
      </c>
    </row>
    <row r="70" spans="1:20" x14ac:dyDescent="0.3">
      <c r="A70" s="3">
        <v>19641</v>
      </c>
      <c r="B70" s="4">
        <f t="shared" si="2"/>
        <v>5.2218152565448601E-2</v>
      </c>
      <c r="C70" s="4">
        <f t="shared" si="3"/>
        <v>5.4077293166129442E-2</v>
      </c>
      <c r="D70" s="5">
        <v>2.9501139528994681E-2</v>
      </c>
      <c r="E70" s="5">
        <v>2.9948586118251928E-2</v>
      </c>
      <c r="F70" s="5">
        <v>5.2924791086350967E-2</v>
      </c>
      <c r="G70" s="5">
        <v>0.55741626794258381</v>
      </c>
      <c r="H70" s="10">
        <v>3.6975203853067766E-4</v>
      </c>
      <c r="I70" s="5">
        <v>0.52367544172435421</v>
      </c>
      <c r="J70" s="5">
        <v>1.7783275215299963E-2</v>
      </c>
      <c r="K70" s="11">
        <v>3.5400000000000001E-2</v>
      </c>
      <c r="L70" s="11">
        <v>4.24E-2</v>
      </c>
      <c r="M70" s="11">
        <v>1.1922956979999455E-3</v>
      </c>
      <c r="N70" s="5">
        <v>6.9999999999999993E-3</v>
      </c>
      <c r="O70" s="5">
        <v>4.500000000000004E-3</v>
      </c>
      <c r="P70" s="5">
        <v>6.6669730260000559E-3</v>
      </c>
      <c r="Q70" s="5">
        <v>0</v>
      </c>
      <c r="R70" s="10">
        <v>3.5906845132000001E-2</v>
      </c>
      <c r="S70" s="5">
        <v>6.2877293166129444E-2</v>
      </c>
      <c r="T70" s="5">
        <v>8.8000000000000005E-3</v>
      </c>
    </row>
    <row r="71" spans="1:20" x14ac:dyDescent="0.3">
      <c r="A71" s="3">
        <v>19642</v>
      </c>
      <c r="B71" s="4">
        <f t="shared" si="2"/>
        <v>3.195946246619636E-2</v>
      </c>
      <c r="C71" s="4">
        <f t="shared" si="3"/>
        <v>3.276305994659226E-2</v>
      </c>
      <c r="D71" s="5">
        <v>2.913453299057412E-2</v>
      </c>
      <c r="E71" s="5">
        <v>2.9613039691427145E-2</v>
      </c>
      <c r="F71" s="5">
        <v>5.3005263802178973E-2</v>
      </c>
      <c r="G71" s="5">
        <v>0.54965357967667439</v>
      </c>
      <c r="H71" s="10">
        <v>8.7838313801750026E-4</v>
      </c>
      <c r="I71" s="5">
        <v>0.51220685508117858</v>
      </c>
      <c r="J71" s="5">
        <v>2.0502810483883145E-2</v>
      </c>
      <c r="K71" s="11">
        <v>3.4799999999999998E-2</v>
      </c>
      <c r="L71" s="11">
        <v>4.19E-2</v>
      </c>
      <c r="M71" s="11">
        <v>1.6690592149999572E-2</v>
      </c>
      <c r="N71" s="5">
        <v>7.1000000000000021E-3</v>
      </c>
      <c r="O71" s="5">
        <v>4.3999999999999942E-3</v>
      </c>
      <c r="P71" s="5">
        <v>-2.1211227099995345E-3</v>
      </c>
      <c r="Q71" s="5">
        <v>3.2362459546926292E-3</v>
      </c>
      <c r="R71" s="10">
        <v>3.6350603422E-2</v>
      </c>
      <c r="S71" s="5">
        <v>4.1613059946592257E-2</v>
      </c>
      <c r="T71" s="5">
        <v>8.8500000000000002E-3</v>
      </c>
    </row>
    <row r="72" spans="1:20" x14ac:dyDescent="0.3">
      <c r="A72" s="3">
        <v>19643</v>
      </c>
      <c r="B72" s="4">
        <f t="shared" si="2"/>
        <v>2.8328109695399756E-2</v>
      </c>
      <c r="C72" s="4">
        <f t="shared" si="3"/>
        <v>2.8983144926209167E-2</v>
      </c>
      <c r="D72" s="5">
        <v>2.8985507246376808E-2</v>
      </c>
      <c r="E72" s="5">
        <v>2.9817915190028108E-2</v>
      </c>
      <c r="F72" s="5">
        <v>5.3100498930862432E-2</v>
      </c>
      <c r="G72" s="5">
        <v>0.54586129753914991</v>
      </c>
      <c r="H72" s="10">
        <v>7.9533033792704715E-4</v>
      </c>
      <c r="I72" s="5">
        <v>0.48653712144578859</v>
      </c>
      <c r="J72" s="5">
        <v>2.0402970906003747E-2</v>
      </c>
      <c r="K72" s="11">
        <v>3.5299999999999998E-2</v>
      </c>
      <c r="L72" s="11">
        <v>4.2099999999999999E-2</v>
      </c>
      <c r="M72" s="11">
        <v>7.8156079999998074E-3</v>
      </c>
      <c r="N72" s="5">
        <v>6.8000000000000005E-3</v>
      </c>
      <c r="O72" s="5">
        <v>4.0000000000000036E-3</v>
      </c>
      <c r="P72" s="5">
        <v>3.2223624040004228E-3</v>
      </c>
      <c r="Q72" s="5">
        <v>3.225806451612856E-3</v>
      </c>
      <c r="R72" s="10">
        <v>3.7099495179999997E-2</v>
      </c>
      <c r="S72" s="5">
        <v>3.7683144926209167E-2</v>
      </c>
      <c r="T72" s="5">
        <v>8.6999999999999994E-3</v>
      </c>
    </row>
    <row r="73" spans="1:20" x14ac:dyDescent="0.3">
      <c r="A73" s="3">
        <v>19644</v>
      </c>
      <c r="B73" s="4">
        <f t="shared" si="2"/>
        <v>6.7318026887750321E-3</v>
      </c>
      <c r="C73" s="4">
        <f t="shared" si="3"/>
        <v>6.8141207727384356E-3</v>
      </c>
      <c r="D73" s="5">
        <v>2.9498525073746312E-2</v>
      </c>
      <c r="E73" s="5">
        <v>2.9613835583984838E-2</v>
      </c>
      <c r="F73" s="5">
        <v>5.3687315634218288E-2</v>
      </c>
      <c r="G73" s="5">
        <v>0.5494505494505495</v>
      </c>
      <c r="H73" s="10">
        <v>7.5112300708313066E-4</v>
      </c>
      <c r="I73" s="5">
        <v>0.48722730028714262</v>
      </c>
      <c r="J73" s="5">
        <v>2.3095316648542911E-2</v>
      </c>
      <c r="K73" s="11">
        <v>3.8399999999999997E-2</v>
      </c>
      <c r="L73" s="11">
        <v>4.2299999999999997E-2</v>
      </c>
      <c r="M73" s="11">
        <v>9.0253319299997692E-3</v>
      </c>
      <c r="N73" s="5">
        <v>3.9000000000000007E-3</v>
      </c>
      <c r="O73" s="5">
        <v>3.699999999999995E-3</v>
      </c>
      <c r="P73" s="5">
        <v>4.4131304700001373E-3</v>
      </c>
      <c r="Q73" s="5">
        <v>3.215434083601254E-3</v>
      </c>
      <c r="R73" s="10">
        <v>3.7437048386000003E-2</v>
      </c>
      <c r="S73" s="5">
        <v>1.5639120772738435E-2</v>
      </c>
      <c r="T73" s="5">
        <v>8.8249999999999995E-3</v>
      </c>
    </row>
    <row r="74" spans="1:20" x14ac:dyDescent="0.3">
      <c r="A74" s="3">
        <v>19651</v>
      </c>
      <c r="B74" s="4">
        <f t="shared" si="2"/>
        <v>1.609607084810856E-2</v>
      </c>
      <c r="C74" s="4">
        <f t="shared" si="3"/>
        <v>1.638208302029881E-2</v>
      </c>
      <c r="D74" s="5">
        <v>2.9596100278551533E-2</v>
      </c>
      <c r="E74" s="5">
        <v>2.9166190094933084E-2</v>
      </c>
      <c r="F74" s="5">
        <v>5.4317548746518104E-2</v>
      </c>
      <c r="G74" s="5">
        <v>0.54487179487179482</v>
      </c>
      <c r="H74" s="10">
        <v>7.0362963071834896E-4</v>
      </c>
      <c r="I74" s="5">
        <v>0.46948990495472698</v>
      </c>
      <c r="J74" s="5">
        <v>1.9134234586095887E-2</v>
      </c>
      <c r="K74" s="11">
        <v>3.9300000000000002E-2</v>
      </c>
      <c r="L74" s="11">
        <v>4.2200000000000001E-2</v>
      </c>
      <c r="M74" s="11">
        <v>1.0834790240000114E-2</v>
      </c>
      <c r="N74" s="5">
        <v>2.8999999999999998E-3</v>
      </c>
      <c r="O74" s="5">
        <v>3.600000000000006E-3</v>
      </c>
      <c r="P74" s="5">
        <v>-6.1669149200005435E-4</v>
      </c>
      <c r="Q74" s="5">
        <v>3.2051282051281937E-3</v>
      </c>
      <c r="R74" s="10">
        <v>3.9331634531999997E-2</v>
      </c>
      <c r="S74" s="5">
        <v>2.5982083020298807E-2</v>
      </c>
      <c r="T74" s="5">
        <v>9.5999999999999992E-3</v>
      </c>
    </row>
    <row r="75" spans="1:20" x14ac:dyDescent="0.3">
      <c r="A75" s="3">
        <v>19652</v>
      </c>
      <c r="B75" s="4">
        <f t="shared" si="2"/>
        <v>-2.5925840911118263E-2</v>
      </c>
      <c r="C75" s="4">
        <f t="shared" si="3"/>
        <v>-2.5844099714471797E-2</v>
      </c>
      <c r="D75" s="5">
        <v>3.1027104136947214E-2</v>
      </c>
      <c r="E75" s="5">
        <v>2.9518208550101784E-2</v>
      </c>
      <c r="F75" s="5">
        <v>5.7536852116024724E-2</v>
      </c>
      <c r="G75" s="5">
        <v>0.53925619834710747</v>
      </c>
      <c r="H75" s="10">
        <v>2.3258983444657314E-3</v>
      </c>
      <c r="I75" s="5">
        <v>0.48085895648767901</v>
      </c>
      <c r="J75" s="5">
        <v>1.7551222576850389E-2</v>
      </c>
      <c r="K75" s="11">
        <v>3.7999999999999999E-2</v>
      </c>
      <c r="L75" s="11">
        <v>4.2299999999999997E-2</v>
      </c>
      <c r="M75" s="11">
        <v>1.0131890455999937E-2</v>
      </c>
      <c r="N75" s="5">
        <v>4.2999999999999983E-3</v>
      </c>
      <c r="O75" s="5">
        <v>3.8999999999999937E-3</v>
      </c>
      <c r="P75" s="5">
        <v>-8.5331809599999975E-3</v>
      </c>
      <c r="Q75" s="5">
        <v>9.5846645367412275E-3</v>
      </c>
      <c r="R75" s="10">
        <v>4.0201196164000003E-2</v>
      </c>
      <c r="S75" s="5">
        <v>-1.6019099714471796E-2</v>
      </c>
      <c r="T75" s="5">
        <v>9.8250000000000004E-3</v>
      </c>
    </row>
    <row r="76" spans="1:20" x14ac:dyDescent="0.3">
      <c r="A76" s="3">
        <v>19653</v>
      </c>
      <c r="B76" s="4">
        <f t="shared" si="2"/>
        <v>6.4935416586831815E-2</v>
      </c>
      <c r="C76" s="4">
        <f t="shared" si="3"/>
        <v>6.7727461842982686E-2</v>
      </c>
      <c r="D76" s="5">
        <v>2.9568697198755007E-2</v>
      </c>
      <c r="E76" s="5">
        <v>3.0515085465182976E-2</v>
      </c>
      <c r="F76" s="5">
        <v>5.5357936860827045E-2</v>
      </c>
      <c r="G76" s="5">
        <v>0.53413654618473894</v>
      </c>
      <c r="H76" s="10">
        <v>9.2850120233411179E-4</v>
      </c>
      <c r="I76" s="5">
        <v>0.4485374712544864</v>
      </c>
      <c r="J76" s="5">
        <v>1.6895389946368976E-2</v>
      </c>
      <c r="K76" s="11">
        <v>3.9199999999999999E-2</v>
      </c>
      <c r="L76" s="11">
        <v>4.3299999999999998E-2</v>
      </c>
      <c r="M76" s="11">
        <v>-2.5059102760000007E-3</v>
      </c>
      <c r="N76" s="5">
        <v>4.0999999999999995E-3</v>
      </c>
      <c r="O76" s="5">
        <v>3.9000000000000076E-3</v>
      </c>
      <c r="P76" s="5">
        <v>2.3028219859999588E-3</v>
      </c>
      <c r="Q76" s="5">
        <v>0</v>
      </c>
      <c r="R76" s="10">
        <v>4.1038997431999999E-2</v>
      </c>
      <c r="S76" s="5">
        <v>7.7227461842982681E-2</v>
      </c>
      <c r="T76" s="5">
        <v>9.4999999999999998E-3</v>
      </c>
    </row>
    <row r="77" spans="1:20" x14ac:dyDescent="0.3">
      <c r="A77" s="3">
        <v>19654</v>
      </c>
      <c r="B77" s="4">
        <f t="shared" si="2"/>
        <v>2.5119944116478825E-2</v>
      </c>
      <c r="C77" s="4">
        <f t="shared" si="3"/>
        <v>2.5687401878842473E-2</v>
      </c>
      <c r="D77" s="5">
        <v>2.9427674997295251E-2</v>
      </c>
      <c r="E77" s="5">
        <v>2.9691081759633229E-2</v>
      </c>
      <c r="F77" s="5">
        <v>5.6150600454397924E-2</v>
      </c>
      <c r="G77" s="5">
        <v>0.52408477842003853</v>
      </c>
      <c r="H77" s="10">
        <v>6.3116350168796386E-4</v>
      </c>
      <c r="I77" s="5">
        <v>0.43063780616140146</v>
      </c>
      <c r="J77" s="5">
        <v>2.0837518729631407E-2</v>
      </c>
      <c r="K77" s="11">
        <v>4.3799999999999999E-2</v>
      </c>
      <c r="L77" s="11">
        <v>4.4999999999999998E-2</v>
      </c>
      <c r="M77" s="11">
        <v>-1.1289309427999994E-2</v>
      </c>
      <c r="N77" s="5">
        <v>1.1999999999999997E-3</v>
      </c>
      <c r="O77" s="5">
        <v>3.4000000000000002E-3</v>
      </c>
      <c r="P77" s="5">
        <v>-4.720129894000058E-3</v>
      </c>
      <c r="Q77" s="5">
        <v>6.3291139240506666E-3</v>
      </c>
      <c r="R77" s="10">
        <v>4.2034365236000001E-2</v>
      </c>
      <c r="S77" s="5">
        <v>3.5487401878842473E-2</v>
      </c>
      <c r="T77" s="5">
        <v>9.7999999999999997E-3</v>
      </c>
    </row>
    <row r="78" spans="1:20" x14ac:dyDescent="0.3">
      <c r="A78" s="3">
        <v>19661</v>
      </c>
      <c r="B78" s="4">
        <f t="shared" si="2"/>
        <v>-4.1344266548591226E-2</v>
      </c>
      <c r="C78" s="4">
        <f t="shared" si="3"/>
        <v>-4.0944738931461208E-2</v>
      </c>
      <c r="D78" s="5">
        <v>3.1155440995180989E-2</v>
      </c>
      <c r="E78" s="5">
        <v>3.047577285682964E-2</v>
      </c>
      <c r="F78" s="5">
        <v>5.9845343494340467E-2</v>
      </c>
      <c r="G78" s="5">
        <v>0.52059925093632953</v>
      </c>
      <c r="H78" s="10">
        <v>1.4198778096397042E-3</v>
      </c>
      <c r="I78" s="5">
        <v>0.49017593563805056</v>
      </c>
      <c r="J78" s="5">
        <v>1.6788179507743927E-2</v>
      </c>
      <c r="K78" s="11">
        <v>4.5899999999999996E-2</v>
      </c>
      <c r="L78" s="11">
        <v>4.5999999999999999E-2</v>
      </c>
      <c r="M78" s="11">
        <v>-6.5801439999998435E-3</v>
      </c>
      <c r="N78" s="5">
        <v>1.0000000000000286E-4</v>
      </c>
      <c r="O78" s="5">
        <v>4.0000000000000036E-3</v>
      </c>
      <c r="P78" s="5">
        <v>-8.3908793260001335E-3</v>
      </c>
      <c r="Q78" s="5">
        <v>9.4339622641510523E-3</v>
      </c>
      <c r="R78" s="10">
        <v>4.3062010664999997E-2</v>
      </c>
      <c r="S78" s="5">
        <v>-2.9994738931461207E-2</v>
      </c>
      <c r="T78" s="5">
        <v>1.095E-2</v>
      </c>
    </row>
    <row r="79" spans="1:20" x14ac:dyDescent="0.3">
      <c r="A79" s="3">
        <v>19662</v>
      </c>
      <c r="B79" s="4">
        <f t="shared" si="2"/>
        <v>-5.436641782758702E-2</v>
      </c>
      <c r="C79" s="4">
        <f t="shared" si="3"/>
        <v>-5.3522185381554385E-2</v>
      </c>
      <c r="D79" s="5">
        <v>3.3396270946424361E-2</v>
      </c>
      <c r="E79" s="5">
        <v>3.2857308719377684E-2</v>
      </c>
      <c r="F79" s="5">
        <v>6.4432381401935329E-2</v>
      </c>
      <c r="G79" s="5">
        <v>0.51831501831501836</v>
      </c>
      <c r="H79" s="10">
        <v>2.7879470047352524E-3</v>
      </c>
      <c r="I79" s="5">
        <v>0.52097460062061829</v>
      </c>
      <c r="J79" s="5">
        <v>1.712305373395355E-2</v>
      </c>
      <c r="K79" s="11">
        <v>4.4999999999999998E-2</v>
      </c>
      <c r="L79" s="11">
        <v>4.7699999999999999E-2</v>
      </c>
      <c r="M79" s="11">
        <v>-1.3743369472000055E-2</v>
      </c>
      <c r="N79" s="5">
        <v>2.700000000000001E-3</v>
      </c>
      <c r="O79" s="5">
        <v>5.1000000000000004E-3</v>
      </c>
      <c r="P79" s="5">
        <v>1.5436079331999975E-2</v>
      </c>
      <c r="Q79" s="5">
        <v>9.3457943925232545E-3</v>
      </c>
      <c r="R79" s="10">
        <v>4.2992663636000003E-2</v>
      </c>
      <c r="S79" s="5">
        <v>-4.2047185381554386E-2</v>
      </c>
      <c r="T79" s="5">
        <v>1.1474999999999999E-2</v>
      </c>
    </row>
    <row r="80" spans="1:20" x14ac:dyDescent="0.3">
      <c r="A80" s="3">
        <v>19663</v>
      </c>
      <c r="B80" s="4">
        <f t="shared" si="2"/>
        <v>-0.10400038337567011</v>
      </c>
      <c r="C80" s="4">
        <f t="shared" si="3"/>
        <v>-9.9886267377555363E-2</v>
      </c>
      <c r="D80" s="5">
        <v>3.7748171368861022E-2</v>
      </c>
      <c r="E80" s="5">
        <v>3.7483787289234766E-2</v>
      </c>
      <c r="F80" s="5">
        <v>7.1969696969696961E-2</v>
      </c>
      <c r="G80" s="5">
        <v>0.52450090744101641</v>
      </c>
      <c r="H80" s="10">
        <v>5.7793298439170974E-3</v>
      </c>
      <c r="I80" s="5">
        <v>0.58549249567306449</v>
      </c>
      <c r="J80" s="5">
        <v>1.6984596597491002E-2</v>
      </c>
      <c r="K80" s="11">
        <v>5.3699999999999998E-2</v>
      </c>
      <c r="L80" s="11">
        <v>4.8000000000000001E-2</v>
      </c>
      <c r="M80" s="11">
        <v>8.1719905039998597E-3</v>
      </c>
      <c r="N80" s="5">
        <v>-5.6999999999999967E-3</v>
      </c>
      <c r="O80" s="5">
        <v>5.9999999999999915E-3</v>
      </c>
      <c r="P80" s="5">
        <v>-3.6094650707999887E-2</v>
      </c>
      <c r="Q80" s="5">
        <v>9.2592592592593004E-3</v>
      </c>
      <c r="R80" s="10">
        <v>4.2790794793999998E-2</v>
      </c>
      <c r="S80" s="5">
        <v>-8.8636267377555367E-2</v>
      </c>
      <c r="T80" s="5">
        <v>1.125E-2</v>
      </c>
    </row>
    <row r="81" spans="1:20" x14ac:dyDescent="0.3">
      <c r="A81" s="3">
        <v>19664</v>
      </c>
      <c r="B81" s="4">
        <f t="shared" si="2"/>
        <v>4.535203661268699E-2</v>
      </c>
      <c r="C81" s="4">
        <f t="shared" si="3"/>
        <v>4.7019033350850468E-2</v>
      </c>
      <c r="D81" s="5">
        <v>3.572762355284452E-2</v>
      </c>
      <c r="E81" s="5">
        <v>3.5674331883157238E-2</v>
      </c>
      <c r="F81" s="5">
        <v>6.9090003734594799E-2</v>
      </c>
      <c r="G81" s="5">
        <v>0.51711711711711716</v>
      </c>
      <c r="H81" s="10">
        <v>3.9481350257715014E-3</v>
      </c>
      <c r="I81" s="5">
        <v>0.57694510557599055</v>
      </c>
      <c r="J81" s="5">
        <v>1.7207641129152573E-2</v>
      </c>
      <c r="K81" s="11">
        <v>4.9599999999999998E-2</v>
      </c>
      <c r="L81" s="11">
        <v>4.5499999999999999E-2</v>
      </c>
      <c r="M81" s="11">
        <v>4.9279023728000082E-2</v>
      </c>
      <c r="N81" s="5">
        <v>-4.0999999999999995E-3</v>
      </c>
      <c r="O81" s="5">
        <v>7.8999999999999973E-3</v>
      </c>
      <c r="P81" s="5">
        <v>-4.6478629480000144E-3</v>
      </c>
      <c r="Q81" s="5">
        <v>6.1162079510701517E-3</v>
      </c>
      <c r="R81" s="10">
        <v>4.2042014934999997E-2</v>
      </c>
      <c r="S81" s="5">
        <v>6.0444033350850468E-2</v>
      </c>
      <c r="T81" s="5">
        <v>1.3424999999999999E-2</v>
      </c>
    </row>
    <row r="82" spans="1:20" x14ac:dyDescent="0.3">
      <c r="A82" s="3">
        <v>19671</v>
      </c>
      <c r="B82" s="4">
        <f t="shared" si="2"/>
        <v>0.11170947103481922</v>
      </c>
      <c r="C82" s="4">
        <f t="shared" si="3"/>
        <v>0.11965347801025691</v>
      </c>
      <c r="D82" s="5">
        <v>3.2150776053215077E-2</v>
      </c>
      <c r="E82" s="5">
        <v>3.3417838211569482E-2</v>
      </c>
      <c r="F82" s="5">
        <v>6.0421286031042132E-2</v>
      </c>
      <c r="G82" s="5">
        <v>0.53211009174311918</v>
      </c>
      <c r="H82" s="10">
        <v>1.6470277727715209E-3</v>
      </c>
      <c r="I82" s="5">
        <v>0.54955079793990624</v>
      </c>
      <c r="J82" s="5">
        <v>1.4921266750043238E-2</v>
      </c>
      <c r="K82" s="11">
        <v>4.2599999999999999E-2</v>
      </c>
      <c r="L82" s="11">
        <v>4.5499999999999999E-2</v>
      </c>
      <c r="M82" s="11">
        <v>1.2620261267999977E-2</v>
      </c>
      <c r="N82" s="5">
        <v>2.8999999999999998E-3</v>
      </c>
      <c r="O82" s="5">
        <v>7.1999999999999981E-3</v>
      </c>
      <c r="P82" s="5">
        <v>2.3355986081999847E-2</v>
      </c>
      <c r="Q82" s="5">
        <v>3.0395136778116338E-3</v>
      </c>
      <c r="R82" s="10">
        <v>4.0667130195999997E-2</v>
      </c>
      <c r="S82" s="5">
        <v>0.13205347801025691</v>
      </c>
      <c r="T82" s="5">
        <v>1.24E-2</v>
      </c>
    </row>
    <row r="83" spans="1:20" x14ac:dyDescent="0.3">
      <c r="A83" s="3">
        <v>19672</v>
      </c>
      <c r="B83" s="4">
        <f t="shared" si="2"/>
        <v>3.0568617293012593E-3</v>
      </c>
      <c r="C83" s="4">
        <f t="shared" si="3"/>
        <v>3.0941440826233665E-3</v>
      </c>
      <c r="D83" s="5">
        <v>3.1994704324801414E-2</v>
      </c>
      <c r="E83" s="5">
        <v>3.2555006735518636E-2</v>
      </c>
      <c r="F83" s="5">
        <v>5.8804060017652253E-2</v>
      </c>
      <c r="G83" s="5">
        <v>0.54409005628517826</v>
      </c>
      <c r="H83" s="10">
        <v>2.7981692872941139E-3</v>
      </c>
      <c r="I83" s="5">
        <v>0.55320484504684631</v>
      </c>
      <c r="J83" s="5">
        <v>1.0152764923360957E-2</v>
      </c>
      <c r="K83" s="11">
        <v>3.5400000000000001E-2</v>
      </c>
      <c r="L83" s="11">
        <v>5.0700000000000002E-2</v>
      </c>
      <c r="M83" s="11">
        <v>-6.3060450887999941E-2</v>
      </c>
      <c r="N83" s="5">
        <v>1.5300000000000001E-2</v>
      </c>
      <c r="O83" s="5">
        <v>7.1000000000000021E-3</v>
      </c>
      <c r="P83" s="5">
        <v>9.1615193059999545E-3</v>
      </c>
      <c r="Q83" s="5">
        <v>9.0909090909090384E-3</v>
      </c>
      <c r="R83" s="10">
        <v>3.9944134558999998E-2</v>
      </c>
      <c r="S83" s="5">
        <v>1.3744144082623366E-2</v>
      </c>
      <c r="T83" s="5">
        <v>1.065E-2</v>
      </c>
    </row>
    <row r="84" spans="1:20" x14ac:dyDescent="0.3">
      <c r="A84" s="3">
        <v>19673</v>
      </c>
      <c r="B84" s="4">
        <f t="shared" si="2"/>
        <v>6.3004690908730066E-2</v>
      </c>
      <c r="C84" s="4">
        <f t="shared" si="3"/>
        <v>6.5607366928123662E-2</v>
      </c>
      <c r="D84" s="5">
        <v>3.0193361596525695E-2</v>
      </c>
      <c r="E84" s="5">
        <v>3.1183255019222554E-2</v>
      </c>
      <c r="F84" s="5">
        <v>5.4803019336159657E-2</v>
      </c>
      <c r="G84" s="5">
        <v>0.55094339622641508</v>
      </c>
      <c r="H84" s="10">
        <v>8.7360866020743473E-4</v>
      </c>
      <c r="I84" s="5">
        <v>0.51356484579025752</v>
      </c>
      <c r="J84" s="5">
        <v>5.6007126672644233E-3</v>
      </c>
      <c r="K84" s="11">
        <v>4.4199999999999996E-2</v>
      </c>
      <c r="L84" s="11">
        <v>5.1700000000000003E-2</v>
      </c>
      <c r="M84" s="11">
        <v>-2.0564571519999797E-3</v>
      </c>
      <c r="N84" s="5">
        <v>7.5000000000000067E-3</v>
      </c>
      <c r="O84" s="5">
        <v>7.4999999999999997E-3</v>
      </c>
      <c r="P84" s="5">
        <v>1.4885520174000022E-2</v>
      </c>
      <c r="Q84" s="5">
        <v>9.009009009009139E-3</v>
      </c>
      <c r="R84" s="10">
        <v>3.9288195262000003E-2</v>
      </c>
      <c r="S84" s="5">
        <v>7.4457366928123658E-2</v>
      </c>
      <c r="T84" s="5">
        <v>8.8500000000000002E-3</v>
      </c>
    </row>
    <row r="85" spans="1:20" x14ac:dyDescent="0.3">
      <c r="A85" s="3">
        <v>19674</v>
      </c>
      <c r="B85" s="4">
        <f t="shared" si="2"/>
        <v>-5.6878944328941777E-3</v>
      </c>
      <c r="C85" s="4">
        <f t="shared" si="3"/>
        <v>-5.7344218133623618E-3</v>
      </c>
      <c r="D85" s="5">
        <v>3.0268477246812479E-2</v>
      </c>
      <c r="E85" s="5">
        <v>3.1063829787234043E-2</v>
      </c>
      <c r="F85" s="5">
        <v>5.5250336892298128E-2</v>
      </c>
      <c r="G85" s="5">
        <v>0.5478424015009381</v>
      </c>
      <c r="H85" s="10">
        <v>1.6705841807556963E-3</v>
      </c>
      <c r="I85" s="5">
        <v>0.52579244511716805</v>
      </c>
      <c r="J85" s="5">
        <v>1.4362056484052687E-2</v>
      </c>
      <c r="K85" s="11">
        <v>4.9699999999999994E-2</v>
      </c>
      <c r="L85" s="11">
        <v>5.5599999999999997E-2</v>
      </c>
      <c r="M85" s="11">
        <v>-4.0745267199999824E-2</v>
      </c>
      <c r="N85" s="5">
        <v>5.9000000000000025E-3</v>
      </c>
      <c r="O85" s="5">
        <v>7.3999999999999969E-3</v>
      </c>
      <c r="P85" s="5">
        <v>-1.7830159360001652E-3</v>
      </c>
      <c r="Q85" s="5">
        <v>8.9285714285713969E-3</v>
      </c>
      <c r="R85" s="10">
        <v>3.9514159931999998E-2</v>
      </c>
      <c r="S85" s="5">
        <v>5.3155781866376373E-3</v>
      </c>
      <c r="T85" s="5">
        <v>1.1049999999999999E-2</v>
      </c>
    </row>
    <row r="86" spans="1:20" x14ac:dyDescent="0.3">
      <c r="A86" s="3">
        <v>19681</v>
      </c>
      <c r="B86" s="4">
        <f t="shared" si="2"/>
        <v>-7.2744604243568795E-2</v>
      </c>
      <c r="C86" s="4">
        <f t="shared" si="3"/>
        <v>-7.1033482962000155E-2</v>
      </c>
      <c r="D86" s="5">
        <v>3.2705099778270512E-2</v>
      </c>
      <c r="E86" s="5">
        <v>3.3012533572068042E-2</v>
      </c>
      <c r="F86" s="5">
        <v>6.0310421286031042E-2</v>
      </c>
      <c r="G86" s="5">
        <v>0.54227941176470584</v>
      </c>
      <c r="H86" s="10">
        <v>2.6992452771748259E-3</v>
      </c>
      <c r="I86" s="5">
        <v>0.5668098064638919</v>
      </c>
      <c r="J86" s="5">
        <v>1.267824380749793E-2</v>
      </c>
      <c r="K86" s="11">
        <v>5.1699999999999996E-2</v>
      </c>
      <c r="L86" s="11">
        <v>5.6000000000000001E-2</v>
      </c>
      <c r="M86" s="11">
        <v>7.5686546880000538E-3</v>
      </c>
      <c r="N86" s="5">
        <v>4.3000000000000052E-3</v>
      </c>
      <c r="O86" s="5">
        <v>7.3999999999999899E-3</v>
      </c>
      <c r="P86" s="5">
        <v>1.187822398299998E-2</v>
      </c>
      <c r="Q86" s="5">
        <v>1.1799410029498469E-2</v>
      </c>
      <c r="R86" s="10">
        <v>4.0095899937000003E-2</v>
      </c>
      <c r="S86" s="5">
        <v>-5.8608482962000163E-2</v>
      </c>
      <c r="T86" s="5">
        <v>1.2424999999999999E-2</v>
      </c>
    </row>
    <row r="87" spans="1:20" x14ac:dyDescent="0.3">
      <c r="A87" s="3">
        <v>19682</v>
      </c>
      <c r="B87" s="4">
        <f t="shared" si="2"/>
        <v>9.4009135985761522E-2</v>
      </c>
      <c r="C87" s="4">
        <f t="shared" si="3"/>
        <v>9.9843796826597803E-2</v>
      </c>
      <c r="D87" s="5">
        <v>3.0026109660574417E-2</v>
      </c>
      <c r="E87" s="5">
        <v>3.029995946493717E-2</v>
      </c>
      <c r="F87" s="5">
        <v>5.5934926692106854E-2</v>
      </c>
      <c r="G87" s="5">
        <v>0.53680430879712748</v>
      </c>
      <c r="H87" s="10">
        <v>2.4936103635218271E-3</v>
      </c>
      <c r="I87" s="5">
        <v>0.53074181332145243</v>
      </c>
      <c r="J87" s="5">
        <v>1.2091116984326343E-2</v>
      </c>
      <c r="K87" s="11">
        <v>5.5199999999999999E-2</v>
      </c>
      <c r="L87" s="11">
        <v>5.3400000000000003E-2</v>
      </c>
      <c r="M87" s="11">
        <v>5.0720855030000012E-2</v>
      </c>
      <c r="N87" s="5">
        <v>-1.799999999999996E-3</v>
      </c>
      <c r="O87" s="5">
        <v>7.8999999999999904E-3</v>
      </c>
      <c r="P87" s="5">
        <v>-3.0407707638000048E-2</v>
      </c>
      <c r="Q87" s="5">
        <v>1.1661807580175099E-2</v>
      </c>
      <c r="R87" s="10">
        <v>3.9014653236000001E-2</v>
      </c>
      <c r="S87" s="5">
        <v>0.11276879682659779</v>
      </c>
      <c r="T87" s="5">
        <v>1.2924999999999999E-2</v>
      </c>
    </row>
    <row r="88" spans="1:20" x14ac:dyDescent="0.3">
      <c r="A88" s="3">
        <v>19683</v>
      </c>
      <c r="B88" s="4">
        <f t="shared" si="2"/>
        <v>2.3574623759321425E-2</v>
      </c>
      <c r="C88" s="4">
        <f t="shared" si="3"/>
        <v>2.4183896667375783E-2</v>
      </c>
      <c r="D88" s="5">
        <v>2.9512028830232781E-2</v>
      </c>
      <c r="E88" s="5">
        <v>3.0649403196439409E-2</v>
      </c>
      <c r="F88" s="5">
        <v>5.5128080257134511E-2</v>
      </c>
      <c r="G88" s="5">
        <v>0.53533568904593631</v>
      </c>
      <c r="H88" s="10">
        <v>1.3412543122389218E-3</v>
      </c>
      <c r="I88" s="5">
        <v>0.50919543914767207</v>
      </c>
      <c r="J88" s="5">
        <v>1.8287139466255199E-2</v>
      </c>
      <c r="K88" s="11">
        <v>5.1900000000000002E-2</v>
      </c>
      <c r="L88" s="11">
        <v>5.3100000000000001E-2</v>
      </c>
      <c r="M88" s="11">
        <v>1.8099698434000056E-2</v>
      </c>
      <c r="N88" s="5">
        <v>1.1999999999999997E-3</v>
      </c>
      <c r="O88" s="5">
        <v>8.2000000000000059E-3</v>
      </c>
      <c r="P88" s="5">
        <v>3.1709128528000008E-2</v>
      </c>
      <c r="Q88" s="5">
        <v>1.1527377521613813E-2</v>
      </c>
      <c r="R88" s="10">
        <v>3.9003212131999997E-2</v>
      </c>
      <c r="S88" s="5">
        <v>3.7983896667375783E-2</v>
      </c>
      <c r="T88" s="5">
        <v>1.38E-2</v>
      </c>
    </row>
    <row r="89" spans="1:20" x14ac:dyDescent="0.3">
      <c r="A89" s="3">
        <v>19684</v>
      </c>
      <c r="B89" s="4">
        <f t="shared" si="2"/>
        <v>6.1699028058000999E-3</v>
      </c>
      <c r="C89" s="4">
        <f t="shared" si="3"/>
        <v>6.2692778240538011E-3</v>
      </c>
      <c r="D89" s="5">
        <v>2.9559021760061619E-2</v>
      </c>
      <c r="E89" s="5">
        <v>2.8328873304420039E-2</v>
      </c>
      <c r="F89" s="5">
        <v>5.5459272097053723E-2</v>
      </c>
      <c r="G89" s="5">
        <v>0.53298611111111105</v>
      </c>
      <c r="H89" s="10">
        <v>8.6534390754276021E-4</v>
      </c>
      <c r="I89" s="5">
        <v>0.50490066225165564</v>
      </c>
      <c r="J89" s="5">
        <v>3.1961446922372849E-2</v>
      </c>
      <c r="K89" s="11">
        <v>5.96E-2</v>
      </c>
      <c r="L89" s="11">
        <v>5.9799999999999999E-2</v>
      </c>
      <c r="M89" s="11">
        <v>-7.4602179404000046E-2</v>
      </c>
      <c r="N89" s="5">
        <v>1.9999999999999879E-4</v>
      </c>
      <c r="O89" s="5">
        <v>7.8000000000000014E-3</v>
      </c>
      <c r="P89" s="5">
        <v>1.3954734124000057E-2</v>
      </c>
      <c r="Q89" s="5">
        <v>1.139601139601143E-2</v>
      </c>
      <c r="R89" s="10">
        <v>3.9513425783000003E-2</v>
      </c>
      <c r="S89" s="5">
        <v>1.9244277824053801E-2</v>
      </c>
      <c r="T89" s="5">
        <v>1.2975E-2</v>
      </c>
    </row>
    <row r="90" spans="1:20" x14ac:dyDescent="0.3">
      <c r="A90" s="3">
        <v>19691</v>
      </c>
      <c r="B90" s="4">
        <f t="shared" si="2"/>
        <v>-3.1354748705117022E-2</v>
      </c>
      <c r="C90" s="4">
        <f t="shared" si="3"/>
        <v>-3.1328223596132826E-2</v>
      </c>
      <c r="D90" s="5">
        <v>3.0538863166190523E-2</v>
      </c>
      <c r="E90" s="5">
        <v>3.1590746968307347E-2</v>
      </c>
      <c r="F90" s="5">
        <v>5.7334252782977047E-2</v>
      </c>
      <c r="G90" s="5">
        <v>0.53264604810996563</v>
      </c>
      <c r="H90" s="10">
        <v>1.7439975558906592E-3</v>
      </c>
      <c r="I90" s="5">
        <v>0.5570402360285629</v>
      </c>
      <c r="J90" s="5">
        <v>3.9508004035486717E-2</v>
      </c>
      <c r="K90" s="11">
        <v>6.0199999999999997E-2</v>
      </c>
      <c r="L90" s="11">
        <v>6.2E-2</v>
      </c>
      <c r="M90" s="11">
        <v>-1.5503006520000029E-2</v>
      </c>
      <c r="N90" s="5">
        <v>1.800000000000003E-3</v>
      </c>
      <c r="O90" s="5">
        <v>6.6000000000000086E-3</v>
      </c>
      <c r="P90" s="5">
        <v>-6.7729454799999589E-3</v>
      </c>
      <c r="Q90" s="5">
        <v>1.6901408450704203E-2</v>
      </c>
      <c r="R90" s="10">
        <v>3.9945244859000001E-2</v>
      </c>
      <c r="S90" s="5">
        <v>-1.6428223596132829E-2</v>
      </c>
      <c r="T90" s="5">
        <v>1.49E-2</v>
      </c>
    </row>
    <row r="91" spans="1:20" x14ac:dyDescent="0.3">
      <c r="A91" s="3">
        <v>19692</v>
      </c>
      <c r="B91" s="4">
        <f t="shared" si="2"/>
        <v>-4.4465829092949605E-2</v>
      </c>
      <c r="C91" s="4">
        <f t="shared" si="3"/>
        <v>-4.4146266030553709E-2</v>
      </c>
      <c r="D91" s="5">
        <v>3.2033568723774435E-2</v>
      </c>
      <c r="E91" s="5">
        <v>3.0253237966363814E-2</v>
      </c>
      <c r="F91" s="5">
        <v>5.9768703305700548E-2</v>
      </c>
      <c r="G91" s="5">
        <v>0.53595890410958902</v>
      </c>
      <c r="H91" s="10">
        <v>1.7295465674352756E-3</v>
      </c>
      <c r="I91" s="5">
        <v>0.596777333684536</v>
      </c>
      <c r="J91" s="5">
        <v>4.5152716916085092E-2</v>
      </c>
      <c r="K91" s="11">
        <v>6.4399999999999999E-2</v>
      </c>
      <c r="L91" s="11">
        <v>6.2300000000000001E-2</v>
      </c>
      <c r="M91" s="11">
        <v>1.2828104779999849E-2</v>
      </c>
      <c r="N91" s="5">
        <v>-2.0999999999999977E-3</v>
      </c>
      <c r="O91" s="5">
        <v>7.1999999999999981E-3</v>
      </c>
      <c r="P91" s="5">
        <v>7.4658364500024277E-4</v>
      </c>
      <c r="Q91" s="5">
        <v>1.3850415512465464E-2</v>
      </c>
      <c r="R91" s="10">
        <v>3.9785958420000003E-2</v>
      </c>
      <c r="S91" s="5">
        <v>-2.9096266030553708E-2</v>
      </c>
      <c r="T91" s="5">
        <v>1.5049999999999999E-2</v>
      </c>
    </row>
    <row r="92" spans="1:20" x14ac:dyDescent="0.3">
      <c r="A92" s="3">
        <v>19693</v>
      </c>
      <c r="B92" s="4">
        <f t="shared" si="2"/>
        <v>-5.5911862019891831E-2</v>
      </c>
      <c r="C92" s="4">
        <f t="shared" si="3"/>
        <v>-5.5253000640017702E-2</v>
      </c>
      <c r="D92" s="5">
        <v>3.3827319587628864E-2</v>
      </c>
      <c r="E92" s="5">
        <v>3.2980839702648937E-2</v>
      </c>
      <c r="F92" s="5">
        <v>6.3251718213058417E-2</v>
      </c>
      <c r="G92" s="5">
        <v>0.53480475382003401</v>
      </c>
      <c r="H92" s="10">
        <v>4.1154716454097091E-3</v>
      </c>
      <c r="I92" s="5">
        <v>0.64088846253182308</v>
      </c>
      <c r="J92" s="5">
        <v>4.8391178940289901E-2</v>
      </c>
      <c r="K92" s="11">
        <v>7.0900000000000005E-2</v>
      </c>
      <c r="L92" s="11">
        <v>6.7699999999999996E-2</v>
      </c>
      <c r="M92" s="11">
        <v>-5.2204715518999967E-2</v>
      </c>
      <c r="N92" s="5">
        <v>-3.2000000000000084E-3</v>
      </c>
      <c r="O92" s="5">
        <v>9.1000000000000109E-3</v>
      </c>
      <c r="P92" s="5">
        <v>2.6340339918999867E-2</v>
      </c>
      <c r="Q92" s="5">
        <v>1.3661202185792254E-2</v>
      </c>
      <c r="R92" s="10">
        <v>4.0098092581999999E-2</v>
      </c>
      <c r="S92" s="5">
        <v>-3.9153000640017699E-2</v>
      </c>
      <c r="T92" s="5">
        <v>1.61E-2</v>
      </c>
    </row>
    <row r="93" spans="1:20" x14ac:dyDescent="0.3">
      <c r="A93" s="3">
        <v>19694</v>
      </c>
      <c r="B93" s="4">
        <f t="shared" si="2"/>
        <v>-1.8388503412244059E-2</v>
      </c>
      <c r="C93" s="4">
        <f t="shared" si="3"/>
        <v>-1.8543424210246472E-2</v>
      </c>
      <c r="D93" s="5">
        <v>3.4325439930480123E-2</v>
      </c>
      <c r="E93" s="5">
        <v>3.3685108197420321E-2</v>
      </c>
      <c r="F93" s="5">
        <v>6.2785140126004779E-2</v>
      </c>
      <c r="G93" s="5">
        <v>0.54671280276816614</v>
      </c>
      <c r="H93" s="10">
        <v>2.4264143369471356E-3</v>
      </c>
      <c r="I93" s="5">
        <v>0.65108201309410763</v>
      </c>
      <c r="J93" s="5">
        <v>3.4273783253736187E-2</v>
      </c>
      <c r="K93" s="11">
        <v>7.8200000000000006E-2</v>
      </c>
      <c r="L93" s="11">
        <v>6.8699999999999997E-2</v>
      </c>
      <c r="M93" s="11">
        <v>4.4361212599999256E-3</v>
      </c>
      <c r="N93" s="5">
        <v>-9.5000000000000084E-3</v>
      </c>
      <c r="O93" s="5">
        <v>9.3000000000000166E-3</v>
      </c>
      <c r="P93" s="5">
        <v>-5.2365315781999988E-2</v>
      </c>
      <c r="Q93" s="5">
        <v>1.6172506738544534E-2</v>
      </c>
      <c r="R93" s="10">
        <v>3.9294289314000003E-2</v>
      </c>
      <c r="S93" s="5">
        <v>-8.1842421024647116E-4</v>
      </c>
      <c r="T93" s="5">
        <v>1.7725000000000001E-2</v>
      </c>
    </row>
    <row r="94" spans="1:20" x14ac:dyDescent="0.3">
      <c r="A94" s="3">
        <v>19701</v>
      </c>
      <c r="B94" s="4">
        <f t="shared" si="2"/>
        <v>-3.7134268080487892E-2</v>
      </c>
      <c r="C94" s="4">
        <f t="shared" si="3"/>
        <v>-3.716590788678846E-2</v>
      </c>
      <c r="D94" s="5">
        <v>3.5367622447841127E-2</v>
      </c>
      <c r="E94" s="5">
        <v>3.5418994413407817E-2</v>
      </c>
      <c r="F94" s="5">
        <v>6.2813790025661051E-2</v>
      </c>
      <c r="G94" s="5">
        <v>0.56305506216696266</v>
      </c>
      <c r="H94" s="10">
        <v>3.0893479989955604E-3</v>
      </c>
      <c r="I94" s="5">
        <v>0.69032676909759783</v>
      </c>
      <c r="J94" s="5">
        <v>3.5841581177216954E-2</v>
      </c>
      <c r="K94" s="11">
        <v>6.6299999999999998E-2</v>
      </c>
      <c r="L94" s="11">
        <v>6.6100000000000006E-2</v>
      </c>
      <c r="M94" s="11">
        <v>4.929268823599986E-2</v>
      </c>
      <c r="N94" s="5">
        <v>-1.9999999999999185E-4</v>
      </c>
      <c r="O94" s="5">
        <v>7.9000000000000042E-3</v>
      </c>
      <c r="P94" s="5">
        <v>7.262774190002208E-4</v>
      </c>
      <c r="Q94" s="5">
        <v>1.3262599469495928E-2</v>
      </c>
      <c r="R94" s="10">
        <v>3.846795469E-2</v>
      </c>
      <c r="S94" s="5">
        <v>-1.7615907886788462E-2</v>
      </c>
      <c r="T94" s="5">
        <v>1.9550000000000001E-2</v>
      </c>
    </row>
    <row r="95" spans="1:20" x14ac:dyDescent="0.3">
      <c r="A95" s="3">
        <v>19702</v>
      </c>
      <c r="B95" s="4">
        <f t="shared" si="2"/>
        <v>-0.21598219334540295</v>
      </c>
      <c r="C95" s="4">
        <f t="shared" si="3"/>
        <v>-0.19747005010890484</v>
      </c>
      <c r="D95" s="5">
        <v>4.3729372937293731E-2</v>
      </c>
      <c r="E95" s="5">
        <v>4.154147615937296E-2</v>
      </c>
      <c r="F95" s="5">
        <v>7.5907590759075896E-2</v>
      </c>
      <c r="G95" s="5">
        <v>0.57608695652173925</v>
      </c>
      <c r="H95" s="10">
        <v>1.2418442433786933E-2</v>
      </c>
      <c r="I95" s="5">
        <v>0.79338141705557907</v>
      </c>
      <c r="J95" s="5">
        <v>4.2290748025659436E-2</v>
      </c>
      <c r="K95" s="11">
        <v>6.6799999999999998E-2</v>
      </c>
      <c r="L95" s="11">
        <v>7.0900000000000005E-2</v>
      </c>
      <c r="M95" s="11">
        <v>-4.1754883975999912E-2</v>
      </c>
      <c r="N95" s="5">
        <v>4.1000000000000064E-3</v>
      </c>
      <c r="O95" s="5">
        <v>7.6999999999999985E-3</v>
      </c>
      <c r="P95" s="5">
        <v>9.5829472599995302E-4</v>
      </c>
      <c r="Q95" s="5">
        <v>1.5706806282722363E-2</v>
      </c>
      <c r="R95" s="10">
        <v>3.7708128850000001E-2</v>
      </c>
      <c r="S95" s="5">
        <v>-0.18089505010890483</v>
      </c>
      <c r="T95" s="5">
        <v>1.6574999999999999E-2</v>
      </c>
    </row>
    <row r="96" spans="1:20" x14ac:dyDescent="0.3">
      <c r="A96" s="3">
        <v>19703</v>
      </c>
      <c r="B96" s="4">
        <f t="shared" si="2"/>
        <v>0.13893714239829416</v>
      </c>
      <c r="C96" s="4">
        <f t="shared" si="3"/>
        <v>0.15154103733588981</v>
      </c>
      <c r="D96" s="5">
        <v>3.7881486759292246E-2</v>
      </c>
      <c r="E96" s="5">
        <v>3.9131501472031406E-2</v>
      </c>
      <c r="F96" s="5">
        <v>6.3650397814986354E-2</v>
      </c>
      <c r="G96" s="5">
        <v>0.5951492537313432</v>
      </c>
      <c r="H96" s="10">
        <v>5.0715456208204864E-3</v>
      </c>
      <c r="I96" s="5">
        <v>0.71291476047746749</v>
      </c>
      <c r="J96" s="5">
        <v>3.7942419348084441E-2</v>
      </c>
      <c r="K96" s="11">
        <v>6.1200000000000004E-2</v>
      </c>
      <c r="L96" s="11">
        <v>6.8000000000000005E-2</v>
      </c>
      <c r="M96" s="11">
        <v>5.342200809200004E-2</v>
      </c>
      <c r="N96" s="5">
        <v>6.8000000000000005E-3</v>
      </c>
      <c r="O96" s="5">
        <v>1.3000000000000012E-2</v>
      </c>
      <c r="P96" s="5">
        <v>2.7553560308000158E-2</v>
      </c>
      <c r="Q96" s="5">
        <v>1.0309278350515649E-2</v>
      </c>
      <c r="R96" s="10">
        <v>3.7366001220999999E-2</v>
      </c>
      <c r="S96" s="5">
        <v>0.1682410373358898</v>
      </c>
      <c r="T96" s="5">
        <v>1.67E-2</v>
      </c>
    </row>
    <row r="97" spans="1:20" x14ac:dyDescent="0.3">
      <c r="A97" s="3">
        <v>19704</v>
      </c>
      <c r="B97" s="4">
        <f t="shared" si="2"/>
        <v>8.5729011667935492E-2</v>
      </c>
      <c r="C97" s="4">
        <f t="shared" si="3"/>
        <v>9.0880562482933053E-2</v>
      </c>
      <c r="D97" s="5">
        <v>3.4074877916440587E-2</v>
      </c>
      <c r="E97" s="5">
        <v>3.6009174311926608E-2</v>
      </c>
      <c r="F97" s="5">
        <v>5.5670103092783502E-2</v>
      </c>
      <c r="G97" s="5">
        <v>0.6120857699805069</v>
      </c>
      <c r="H97" s="10">
        <v>2.4640491962593407E-3</v>
      </c>
      <c r="I97" s="5">
        <v>0.64642635769799262</v>
      </c>
      <c r="J97" s="5">
        <v>3.1461707535070153E-2</v>
      </c>
      <c r="K97" s="11">
        <v>4.87E-2</v>
      </c>
      <c r="L97" s="11">
        <v>6.4799999999999996E-2</v>
      </c>
      <c r="M97" s="11">
        <v>5.8372172396000011E-2</v>
      </c>
      <c r="N97" s="5">
        <v>1.6099999999999996E-2</v>
      </c>
      <c r="O97" s="5">
        <v>1.4799999999999994E-2</v>
      </c>
      <c r="P97" s="5">
        <v>2.8861691795999844E-2</v>
      </c>
      <c r="Q97" s="5">
        <v>1.5306122448979442E-2</v>
      </c>
      <c r="R97" s="10">
        <v>3.5643553277999999E-2</v>
      </c>
      <c r="S97" s="5">
        <v>0.10618056248293306</v>
      </c>
      <c r="T97" s="5">
        <v>1.5300000000000001E-2</v>
      </c>
    </row>
    <row r="98" spans="1:20" x14ac:dyDescent="0.3">
      <c r="A98" s="3">
        <v>19711</v>
      </c>
      <c r="B98" s="4">
        <f t="shared" si="2"/>
        <v>8.1388038406681074E-2</v>
      </c>
      <c r="C98" s="4">
        <f t="shared" si="3"/>
        <v>8.5824095397716557E-2</v>
      </c>
      <c r="D98" s="5">
        <v>3.1003887947363171E-2</v>
      </c>
      <c r="E98" s="5">
        <v>3.2144702842377262E-2</v>
      </c>
      <c r="F98" s="5">
        <v>5.2038680091715681E-2</v>
      </c>
      <c r="G98" s="5">
        <v>0.59578544061302685</v>
      </c>
      <c r="H98" s="10">
        <v>1.4852038962892486E-3</v>
      </c>
      <c r="I98" s="5">
        <v>0.63381138250937119</v>
      </c>
      <c r="J98" s="5">
        <v>2.6398845213223956E-2</v>
      </c>
      <c r="K98" s="11">
        <v>3.3799999999999997E-2</v>
      </c>
      <c r="L98" s="11">
        <v>5.9299999999999999E-2</v>
      </c>
      <c r="M98" s="11">
        <v>8.7836016571999798E-2</v>
      </c>
      <c r="N98" s="5">
        <v>2.5500000000000002E-2</v>
      </c>
      <c r="O98" s="5">
        <v>1.2500000000000011E-2</v>
      </c>
      <c r="P98" s="5">
        <v>-4.7005092267999871E-2</v>
      </c>
      <c r="Q98" s="5">
        <v>5.0251256281408363E-3</v>
      </c>
      <c r="R98" s="10">
        <v>3.5558627676000001E-2</v>
      </c>
      <c r="S98" s="5">
        <v>9.7999095397716562E-2</v>
      </c>
      <c r="T98" s="5">
        <v>1.2175E-2</v>
      </c>
    </row>
    <row r="99" spans="1:20" x14ac:dyDescent="0.3">
      <c r="A99" s="3">
        <v>19712</v>
      </c>
      <c r="B99" s="4">
        <f t="shared" si="2"/>
        <v>-7.5379332178727868E-3</v>
      </c>
      <c r="C99" s="4">
        <f t="shared" si="3"/>
        <v>-7.5730503211403483E-3</v>
      </c>
      <c r="D99" s="5">
        <v>3.1093279839518557E-2</v>
      </c>
      <c r="E99" s="5">
        <v>3.1115125966074478E-2</v>
      </c>
      <c r="F99" s="5">
        <v>5.3360080240722169E-2</v>
      </c>
      <c r="G99" s="5">
        <v>0.58270676691729317</v>
      </c>
      <c r="H99" s="10">
        <v>1.7713707945270156E-3</v>
      </c>
      <c r="I99" s="5">
        <v>0.64322104270933866</v>
      </c>
      <c r="J99" s="5">
        <v>2.7278516711123232E-2</v>
      </c>
      <c r="K99" s="11">
        <v>4.7500000000000001E-2</v>
      </c>
      <c r="L99" s="11">
        <v>6.4100000000000004E-2</v>
      </c>
      <c r="M99" s="11">
        <v>-4.4323779981999989E-2</v>
      </c>
      <c r="N99" s="5">
        <v>1.6600000000000004E-2</v>
      </c>
      <c r="O99" s="5">
        <v>1.1099999999999999E-2</v>
      </c>
      <c r="P99" s="5">
        <v>1.5283015553999912E-2</v>
      </c>
      <c r="Q99" s="5">
        <v>1.5000000000000124E-2</v>
      </c>
      <c r="R99" s="10">
        <v>3.5666269871000002E-2</v>
      </c>
      <c r="S99" s="5">
        <v>8.7694967885965092E-4</v>
      </c>
      <c r="T99" s="5">
        <v>8.4499999999999992E-3</v>
      </c>
    </row>
    <row r="100" spans="1:20" x14ac:dyDescent="0.3">
      <c r="A100" s="3">
        <v>19713</v>
      </c>
      <c r="B100" s="4">
        <f t="shared" si="2"/>
        <v>-1.7363111400717245E-2</v>
      </c>
      <c r="C100" s="4">
        <f t="shared" si="3"/>
        <v>-1.7417648479396673E-2</v>
      </c>
      <c r="D100" s="5">
        <v>3.1421598535692492E-2</v>
      </c>
      <c r="E100" s="5">
        <v>3.1202665858830657E-2</v>
      </c>
      <c r="F100" s="5">
        <v>5.5216595485051853E-2</v>
      </c>
      <c r="G100" s="5">
        <v>0.56906077348066297</v>
      </c>
      <c r="H100" s="10">
        <v>3.4939212460586102E-3</v>
      </c>
      <c r="I100" s="5">
        <v>0.64608482963063152</v>
      </c>
      <c r="J100" s="5">
        <v>2.7934432743263227E-2</v>
      </c>
      <c r="K100" s="11">
        <v>4.6900000000000004E-2</v>
      </c>
      <c r="L100" s="11">
        <v>5.9799999999999999E-2</v>
      </c>
      <c r="M100" s="11">
        <v>7.1666222519999767E-2</v>
      </c>
      <c r="N100" s="5">
        <v>1.2899999999999995E-2</v>
      </c>
      <c r="O100" s="5">
        <v>1.1499999999999996E-2</v>
      </c>
      <c r="P100" s="5">
        <v>-2.9642889819999851E-2</v>
      </c>
      <c r="Q100" s="5">
        <v>4.9261083743841194E-3</v>
      </c>
      <c r="R100" s="10">
        <v>3.5444902744000001E-2</v>
      </c>
      <c r="S100" s="5">
        <v>-5.5426484793966724E-3</v>
      </c>
      <c r="T100" s="5">
        <v>1.1875E-2</v>
      </c>
    </row>
    <row r="101" spans="1:20" x14ac:dyDescent="0.3">
      <c r="A101" s="3">
        <v>19714</v>
      </c>
      <c r="B101" s="4">
        <f t="shared" si="2"/>
        <v>3.4511483770070267E-2</v>
      </c>
      <c r="C101" s="4">
        <f t="shared" si="3"/>
        <v>3.5525625975165051E-2</v>
      </c>
      <c r="D101" s="5">
        <v>3.0071505534332448E-2</v>
      </c>
      <c r="E101" s="5">
        <v>3.2663049260559636E-2</v>
      </c>
      <c r="F101" s="5">
        <v>5.583308845136644E-2</v>
      </c>
      <c r="G101" s="5">
        <v>0.53859649122807018</v>
      </c>
      <c r="H101" s="10">
        <v>3.7111755568942188E-3</v>
      </c>
      <c r="I101" s="5">
        <v>0.64390024713547522</v>
      </c>
      <c r="J101" s="5">
        <v>3.4023346570813601E-2</v>
      </c>
      <c r="K101" s="11">
        <v>4.0099999999999997E-2</v>
      </c>
      <c r="L101" s="11">
        <v>5.9700000000000003E-2</v>
      </c>
      <c r="M101" s="11">
        <v>1.6373964643999761E-2</v>
      </c>
      <c r="N101" s="5">
        <v>1.9600000000000006E-2</v>
      </c>
      <c r="O101" s="5">
        <v>1.1300000000000018E-2</v>
      </c>
      <c r="P101" s="5">
        <v>3.7803169050000029E-2</v>
      </c>
      <c r="Q101" s="5">
        <v>7.3529411764707842E-3</v>
      </c>
      <c r="R101" s="10">
        <v>3.5796069059999998E-2</v>
      </c>
      <c r="S101" s="5">
        <v>4.725062597516505E-2</v>
      </c>
      <c r="T101" s="5">
        <v>1.1725000000000001E-2</v>
      </c>
    </row>
    <row r="102" spans="1:20" x14ac:dyDescent="0.3">
      <c r="A102" s="3">
        <v>19721</v>
      </c>
      <c r="B102" s="4">
        <f t="shared" si="2"/>
        <v>4.599474414758345E-2</v>
      </c>
      <c r="C102" s="4">
        <f t="shared" si="3"/>
        <v>4.7540773502546992E-2</v>
      </c>
      <c r="D102" s="5">
        <v>2.8638059701492535E-2</v>
      </c>
      <c r="E102" s="5">
        <v>2.880735666697945E-2</v>
      </c>
      <c r="F102" s="5">
        <v>5.4197761194029845E-2</v>
      </c>
      <c r="G102" s="5">
        <v>0.52839931153184161</v>
      </c>
      <c r="H102" s="10">
        <v>1.323713531827374E-3</v>
      </c>
      <c r="I102" s="5">
        <v>0.64590198788136488</v>
      </c>
      <c r="J102" s="5">
        <v>3.1723252314245366E-2</v>
      </c>
      <c r="K102" s="11">
        <v>3.73E-2</v>
      </c>
      <c r="L102" s="11">
        <v>6.13E-2</v>
      </c>
      <c r="M102" s="11">
        <v>-5.7754853919999016E-3</v>
      </c>
      <c r="N102" s="5">
        <v>2.4E-2</v>
      </c>
      <c r="O102" s="5">
        <v>9.999999999999995E-3</v>
      </c>
      <c r="P102" s="5">
        <v>1.5557850647999749E-2</v>
      </c>
      <c r="Q102" s="5">
        <v>7.2992700729925808E-3</v>
      </c>
      <c r="R102" s="10">
        <v>3.6541646456999997E-2</v>
      </c>
      <c r="S102" s="5">
        <v>5.7565773502546991E-2</v>
      </c>
      <c r="T102" s="5">
        <v>1.0024999999999999E-2</v>
      </c>
    </row>
    <row r="103" spans="1:20" x14ac:dyDescent="0.3">
      <c r="A103" s="3">
        <v>19722</v>
      </c>
      <c r="B103" s="4">
        <f t="shared" si="2"/>
        <v>-2.4025504298713796E-3</v>
      </c>
      <c r="C103" s="4">
        <f t="shared" si="3"/>
        <v>-2.4220435067427715E-3</v>
      </c>
      <c r="D103" s="5">
        <v>2.8654097442598468E-2</v>
      </c>
      <c r="E103" s="5">
        <v>2.8028850543230163E-2</v>
      </c>
      <c r="F103" s="5">
        <v>5.5721485906290835E-2</v>
      </c>
      <c r="G103" s="5">
        <v>0.5142378559463987</v>
      </c>
      <c r="H103" s="10">
        <v>1.5177953461078351E-3</v>
      </c>
      <c r="I103" s="5">
        <v>0.65401547850984365</v>
      </c>
      <c r="J103" s="5">
        <v>3.4199455977896032E-2</v>
      </c>
      <c r="K103" s="11">
        <v>3.9100000000000003E-2</v>
      </c>
      <c r="L103" s="11">
        <v>6.0699999999999997E-2</v>
      </c>
      <c r="M103" s="11">
        <v>2.3079376149999886E-2</v>
      </c>
      <c r="N103" s="5">
        <v>2.1599999999999994E-2</v>
      </c>
      <c r="O103" s="5">
        <v>9.6999999999999864E-3</v>
      </c>
      <c r="P103" s="5">
        <v>-1.0157354089999959E-2</v>
      </c>
      <c r="Q103" s="5">
        <v>7.2463768115942351E-3</v>
      </c>
      <c r="R103" s="10">
        <v>3.6714698418999998E-2</v>
      </c>
      <c r="S103" s="5">
        <v>6.9029564932572285E-3</v>
      </c>
      <c r="T103" s="5">
        <v>9.325E-3</v>
      </c>
    </row>
    <row r="104" spans="1:20" x14ac:dyDescent="0.3">
      <c r="A104" s="3">
        <v>19723</v>
      </c>
      <c r="B104" s="4">
        <f t="shared" si="2"/>
        <v>2.8897507108478906E-2</v>
      </c>
      <c r="C104" s="4">
        <f t="shared" si="3"/>
        <v>2.9605685294872376E-2</v>
      </c>
      <c r="D104" s="5">
        <v>2.7860696517412936E-2</v>
      </c>
      <c r="E104" s="5">
        <v>2.7725267800882167E-2</v>
      </c>
      <c r="F104" s="5">
        <v>5.5540479421076434E-2</v>
      </c>
      <c r="G104" s="5">
        <v>0.50162866449511401</v>
      </c>
      <c r="H104" s="10">
        <v>1.6561977486559206E-3</v>
      </c>
      <c r="I104" s="5">
        <v>0.63738500110147178</v>
      </c>
      <c r="J104" s="5">
        <v>3.2869834671684875E-2</v>
      </c>
      <c r="K104" s="11">
        <v>4.6600000000000003E-2</v>
      </c>
      <c r="L104" s="11">
        <v>6.0600000000000001E-2</v>
      </c>
      <c r="M104" s="11">
        <v>1.6058770087999941E-2</v>
      </c>
      <c r="N104" s="5">
        <v>1.3999999999999999E-2</v>
      </c>
      <c r="O104" s="5">
        <v>8.6999999999999994E-3</v>
      </c>
      <c r="P104" s="5">
        <v>-2.705483127999786E-3</v>
      </c>
      <c r="Q104" s="5">
        <v>9.5923261390886694E-3</v>
      </c>
      <c r="R104" s="10">
        <v>3.6821579971000003E-2</v>
      </c>
      <c r="S104" s="5">
        <v>3.9380685294872375E-2</v>
      </c>
      <c r="T104" s="5">
        <v>9.7750000000000007E-3</v>
      </c>
    </row>
    <row r="105" spans="1:20" x14ac:dyDescent="0.3">
      <c r="A105" s="3">
        <v>19724</v>
      </c>
      <c r="B105" s="4">
        <f t="shared" si="2"/>
        <v>6.1880083017510357E-2</v>
      </c>
      <c r="C105" s="4">
        <f t="shared" si="3"/>
        <v>6.4578440238655943E-2</v>
      </c>
      <c r="D105" s="5">
        <v>2.6683608640406607E-2</v>
      </c>
      <c r="E105" s="5">
        <v>2.6999228593468757E-2</v>
      </c>
      <c r="F105" s="5">
        <v>5.4383735705209657E-2</v>
      </c>
      <c r="G105" s="5">
        <v>0.49065420560747663</v>
      </c>
      <c r="H105" s="10">
        <v>1.8638951400697273E-3</v>
      </c>
      <c r="I105" s="5">
        <v>0.59567459461579186</v>
      </c>
      <c r="J105" s="5">
        <v>3.4203476892399463E-2</v>
      </c>
      <c r="K105" s="11">
        <v>5.0700000000000002E-2</v>
      </c>
      <c r="L105" s="11">
        <v>5.9900000000000002E-2</v>
      </c>
      <c r="M105" s="11">
        <v>2.2563329564000201E-2</v>
      </c>
      <c r="N105" s="5">
        <v>9.1999999999999998E-3</v>
      </c>
      <c r="O105" s="5">
        <v>8.4999999999999937E-3</v>
      </c>
      <c r="P105" s="5">
        <v>1.227405983999974E-2</v>
      </c>
      <c r="Q105" s="5">
        <v>9.5011876484560887E-3</v>
      </c>
      <c r="R105" s="10">
        <v>3.8134370789999997E-2</v>
      </c>
      <c r="S105" s="5">
        <v>7.6228440238655937E-2</v>
      </c>
      <c r="T105" s="5">
        <v>1.1650000000000001E-2</v>
      </c>
    </row>
    <row r="106" spans="1:20" x14ac:dyDescent="0.3">
      <c r="A106" s="3">
        <v>19731</v>
      </c>
      <c r="B106" s="4">
        <f t="shared" si="2"/>
        <v>-6.4985900791442619E-2</v>
      </c>
      <c r="C106" s="4">
        <f t="shared" si="3"/>
        <v>-6.3716827059415629E-2</v>
      </c>
      <c r="D106" s="5">
        <v>2.8425394548063129E-2</v>
      </c>
      <c r="E106" s="5">
        <v>2.8384670487106016E-2</v>
      </c>
      <c r="F106" s="5">
        <v>6.097560975609756E-2</v>
      </c>
      <c r="G106" s="5">
        <v>0.4661764705882353</v>
      </c>
      <c r="H106" s="10">
        <v>3.3377629112808262E-3</v>
      </c>
      <c r="I106" s="5">
        <v>0.6760181280953933</v>
      </c>
      <c r="J106" s="5">
        <v>3.6706060964895697E-2</v>
      </c>
      <c r="K106" s="11">
        <v>6.0899999999999996E-2</v>
      </c>
      <c r="L106" s="11">
        <v>6.8599999999999994E-2</v>
      </c>
      <c r="M106" s="11">
        <v>-2.2797048507999906E-2</v>
      </c>
      <c r="N106" s="5">
        <v>7.6999999999999985E-3</v>
      </c>
      <c r="O106" s="5">
        <v>7.3999999999999899E-3</v>
      </c>
      <c r="P106" s="5">
        <v>2.4170622617999959E-2</v>
      </c>
      <c r="Q106" s="5">
        <v>1.8823529411764683E-2</v>
      </c>
      <c r="R106" s="10">
        <v>3.9217811457999997E-2</v>
      </c>
      <c r="S106" s="5">
        <v>-5.1041827059415623E-2</v>
      </c>
      <c r="T106" s="5">
        <v>1.2675000000000001E-2</v>
      </c>
    </row>
    <row r="107" spans="1:20" x14ac:dyDescent="0.3">
      <c r="A107" s="3">
        <v>19732</v>
      </c>
      <c r="B107" s="4">
        <f t="shared" si="2"/>
        <v>-7.5238594239085688E-2</v>
      </c>
      <c r="C107" s="4">
        <f t="shared" si="3"/>
        <v>-7.3581316654918474E-2</v>
      </c>
      <c r="D107" s="5">
        <v>3.0884327642432381E-2</v>
      </c>
      <c r="E107" s="5">
        <v>3.0681276798475467E-2</v>
      </c>
      <c r="F107" s="5">
        <v>6.9345866103970838E-2</v>
      </c>
      <c r="G107" s="5">
        <v>0.44536652835408025</v>
      </c>
      <c r="H107" s="10">
        <v>6.7596639434216428E-3</v>
      </c>
      <c r="I107" s="5">
        <v>0.72097430779064942</v>
      </c>
      <c r="J107" s="5">
        <v>3.9013288032156215E-2</v>
      </c>
      <c r="K107" s="11">
        <v>7.1900000000000006E-2</v>
      </c>
      <c r="L107" s="11">
        <v>7.0999999999999994E-2</v>
      </c>
      <c r="M107" s="11">
        <v>-8.0358085699999693E-3</v>
      </c>
      <c r="N107" s="5">
        <v>-9.000000000000119E-4</v>
      </c>
      <c r="O107" s="5">
        <v>7.6000000000000095E-3</v>
      </c>
      <c r="P107" s="5">
        <v>4.59983179399992E-3</v>
      </c>
      <c r="Q107" s="5">
        <v>2.0785219399538146E-2</v>
      </c>
      <c r="R107" s="10">
        <v>4.0105667219000003E-2</v>
      </c>
      <c r="S107" s="5">
        <v>-5.8356316654918472E-2</v>
      </c>
      <c r="T107" s="5">
        <v>1.5224999999999999E-2</v>
      </c>
    </row>
    <row r="108" spans="1:20" x14ac:dyDescent="0.3">
      <c r="A108" s="3">
        <v>19733</v>
      </c>
      <c r="B108" s="4">
        <f t="shared" si="2"/>
        <v>2.9866405785936766E-2</v>
      </c>
      <c r="C108" s="4">
        <f t="shared" si="3"/>
        <v>3.0861826309910596E-2</v>
      </c>
      <c r="D108" s="5">
        <v>3.0157705432075993E-2</v>
      </c>
      <c r="E108" s="5">
        <v>3.1366906474820141E-2</v>
      </c>
      <c r="F108" s="5">
        <v>7.0921331734759757E-2</v>
      </c>
      <c r="G108" s="5">
        <v>0.42522756827048114</v>
      </c>
      <c r="H108" s="10">
        <v>3.8984549170716586E-3</v>
      </c>
      <c r="I108" s="5">
        <v>0.67880899588216659</v>
      </c>
      <c r="J108" s="5">
        <v>3.4361129679983553E-2</v>
      </c>
      <c r="K108" s="11">
        <v>8.2899999999999988E-2</v>
      </c>
      <c r="L108" s="11">
        <v>7.0300000000000001E-2</v>
      </c>
      <c r="M108" s="11">
        <v>2.5719571645999917E-2</v>
      </c>
      <c r="N108" s="5">
        <v>-1.2599999999999986E-2</v>
      </c>
      <c r="O108" s="5">
        <v>1.0000000000000009E-2</v>
      </c>
      <c r="P108" s="5">
        <v>-4.3016579819996625E-3</v>
      </c>
      <c r="Q108" s="5">
        <v>2.2624434389140191E-2</v>
      </c>
      <c r="R108" s="10">
        <v>4.0118024087E-2</v>
      </c>
      <c r="S108" s="5">
        <v>4.8836826309910597E-2</v>
      </c>
      <c r="T108" s="5">
        <v>1.7975000000000001E-2</v>
      </c>
    </row>
    <row r="109" spans="1:20" x14ac:dyDescent="0.3">
      <c r="A109" s="3">
        <v>19734</v>
      </c>
      <c r="B109" s="4">
        <f t="shared" si="2"/>
        <v>-0.11580486633124773</v>
      </c>
      <c r="C109" s="4">
        <f t="shared" si="3"/>
        <v>-0.1116172974853934</v>
      </c>
      <c r="D109" s="5">
        <v>3.4648898001025115E-2</v>
      </c>
      <c r="E109" s="5">
        <v>3.5223009587328054E-2</v>
      </c>
      <c r="F109" s="5">
        <v>8.3649410558687853E-2</v>
      </c>
      <c r="G109" s="5">
        <v>0.41421568627450978</v>
      </c>
      <c r="H109" s="10">
        <v>1.1072831197128586E-2</v>
      </c>
      <c r="I109" s="5">
        <v>0.75558846343699315</v>
      </c>
      <c r="J109" s="5">
        <v>1.3007395124224599E-2</v>
      </c>
      <c r="K109" s="11">
        <v>7.4499999999999997E-2</v>
      </c>
      <c r="L109" s="11">
        <v>7.2599999999999998E-2</v>
      </c>
      <c r="M109" s="11">
        <v>-5.4164637099999302E-3</v>
      </c>
      <c r="N109" s="5">
        <v>-1.8999999999999989E-3</v>
      </c>
      <c r="O109" s="5">
        <v>8.0000000000000071E-3</v>
      </c>
      <c r="P109" s="5">
        <v>-2.345238118000248E-3</v>
      </c>
      <c r="Q109" s="5">
        <v>2.2123893805309658E-2</v>
      </c>
      <c r="R109" s="10">
        <v>3.9817555666000003E-2</v>
      </c>
      <c r="S109" s="5">
        <v>-9.0892297485393403E-2</v>
      </c>
      <c r="T109" s="5">
        <v>2.0724999999999997E-2</v>
      </c>
    </row>
    <row r="110" spans="1:20" x14ac:dyDescent="0.3">
      <c r="A110" s="3">
        <v>19741</v>
      </c>
      <c r="B110" s="4">
        <f t="shared" si="2"/>
        <v>-4.6676339006912981E-2</v>
      </c>
      <c r="C110" s="4">
        <f t="shared" si="3"/>
        <v>-4.6453121428977284E-2</v>
      </c>
      <c r="D110" s="5">
        <v>3.6603532666524788E-2</v>
      </c>
      <c r="E110" s="5">
        <v>3.5751403034712116E-2</v>
      </c>
      <c r="F110" s="5">
        <v>8.8955096829112568E-2</v>
      </c>
      <c r="G110" s="5">
        <v>0.41148325358851678</v>
      </c>
      <c r="H110" s="10">
        <v>6.9811143465599457E-3</v>
      </c>
      <c r="I110" s="5">
        <v>0.81518401285019149</v>
      </c>
      <c r="J110" s="5">
        <v>1.0399936064688012E-2</v>
      </c>
      <c r="K110" s="11">
        <v>7.9600000000000004E-2</v>
      </c>
      <c r="L110" s="11">
        <v>7.8299999999999995E-2</v>
      </c>
      <c r="M110" s="11">
        <v>-3.9568221663999981E-2</v>
      </c>
      <c r="N110" s="5">
        <v>-1.3000000000000095E-3</v>
      </c>
      <c r="O110" s="5">
        <v>6.0999999999999943E-3</v>
      </c>
      <c r="P110" s="5">
        <v>4.5986781029999646E-3</v>
      </c>
      <c r="Q110" s="5">
        <v>3.463203463203457E-2</v>
      </c>
      <c r="R110" s="10">
        <v>3.9195659483000002E-2</v>
      </c>
      <c r="S110" s="5">
        <v>-2.7828121428977282E-2</v>
      </c>
      <c r="T110" s="5">
        <v>1.8624999999999999E-2</v>
      </c>
    </row>
    <row r="111" spans="1:20" x14ac:dyDescent="0.3">
      <c r="A111" s="3">
        <v>19742</v>
      </c>
      <c r="B111" s="4">
        <f t="shared" si="2"/>
        <v>-9.8243763278874144E-2</v>
      </c>
      <c r="C111" s="4">
        <f t="shared" si="3"/>
        <v>-9.5434161353771335E-2</v>
      </c>
      <c r="D111" s="5">
        <v>4.0697674418604654E-2</v>
      </c>
      <c r="E111" s="5">
        <v>4.0100824931255726E-2</v>
      </c>
      <c r="F111" s="5">
        <v>0.10162790697674419</v>
      </c>
      <c r="G111" s="5">
        <v>0.40045766590389015</v>
      </c>
      <c r="H111" s="10">
        <v>6.1282922844874905E-3</v>
      </c>
      <c r="I111" s="5">
        <v>0.86015877170025312</v>
      </c>
      <c r="J111" s="5">
        <v>8.028169497584144E-3</v>
      </c>
      <c r="K111" s="11">
        <v>7.9000000000000001E-2</v>
      </c>
      <c r="L111" s="11">
        <v>8.1199999999999994E-2</v>
      </c>
      <c r="M111" s="11">
        <v>-8.8710903550001108E-3</v>
      </c>
      <c r="N111" s="5">
        <v>2.1999999999999936E-3</v>
      </c>
      <c r="O111" s="5">
        <v>7.9999999999999793E-3</v>
      </c>
      <c r="P111" s="5">
        <v>-4.2904155219999907E-2</v>
      </c>
      <c r="Q111" s="5">
        <v>2.5104602510460206E-2</v>
      </c>
      <c r="R111" s="10">
        <v>3.8580673282000003E-2</v>
      </c>
      <c r="S111" s="5">
        <v>-7.5534161353771334E-2</v>
      </c>
      <c r="T111" s="5">
        <v>1.9900000000000001E-2</v>
      </c>
    </row>
    <row r="112" spans="1:20" x14ac:dyDescent="0.3">
      <c r="A112" s="3">
        <v>19743</v>
      </c>
      <c r="B112" s="4">
        <f t="shared" si="2"/>
        <v>-0.31011607552934251</v>
      </c>
      <c r="C112" s="4">
        <f t="shared" si="3"/>
        <v>-0.27190427801658207</v>
      </c>
      <c r="D112" s="5">
        <v>5.6499842618822786E-2</v>
      </c>
      <c r="E112" s="5">
        <v>4.9757449757449751E-2</v>
      </c>
      <c r="F112" s="5">
        <v>0.14337425243940824</v>
      </c>
      <c r="G112" s="5">
        <v>0.39407244785949508</v>
      </c>
      <c r="H112" s="10">
        <v>1.7520254550272129E-2</v>
      </c>
      <c r="I112" s="5">
        <v>1.1354401434517249</v>
      </c>
      <c r="J112" s="5">
        <v>5.1374791899353057E-3</v>
      </c>
      <c r="K112" s="11">
        <v>8.0600000000000005E-2</v>
      </c>
      <c r="L112" s="11">
        <v>8.3699999999999997E-2</v>
      </c>
      <c r="M112" s="11">
        <v>-1.9757281840000473E-3</v>
      </c>
      <c r="N112" s="5">
        <v>3.0999999999999917E-3</v>
      </c>
      <c r="O112" s="5">
        <v>9.4000000000000056E-3</v>
      </c>
      <c r="P112" s="5">
        <v>-2.8782412463999929E-2</v>
      </c>
      <c r="Q112" s="5">
        <v>3.2653061224489743E-2</v>
      </c>
      <c r="R112" s="10">
        <v>3.7675299539E-2</v>
      </c>
      <c r="S112" s="5">
        <v>-0.25215427801658208</v>
      </c>
      <c r="T112" s="5">
        <v>1.975E-2</v>
      </c>
    </row>
    <row r="113" spans="1:20" x14ac:dyDescent="0.3">
      <c r="A113" s="3">
        <v>19744</v>
      </c>
      <c r="B113" s="4">
        <f t="shared" si="2"/>
        <v>7.0489978233126929E-2</v>
      </c>
      <c r="C113" s="4">
        <f t="shared" si="3"/>
        <v>7.4505447068073605E-2</v>
      </c>
      <c r="D113" s="5">
        <v>5.2508751458576426E-2</v>
      </c>
      <c r="E113" s="5">
        <v>5.1450621695012147E-2</v>
      </c>
      <c r="F113" s="5">
        <v>0.12966744457409568</v>
      </c>
      <c r="G113" s="5">
        <v>0.40494938132733405</v>
      </c>
      <c r="H113" s="10">
        <v>1.741317450502973E-2</v>
      </c>
      <c r="I113" s="5">
        <v>1.1200181747371154</v>
      </c>
      <c r="J113" s="5">
        <v>8.7715739579457622E-3</v>
      </c>
      <c r="K113" s="11">
        <v>7.1500000000000008E-2</v>
      </c>
      <c r="L113" s="11">
        <v>7.5999999999999998E-2</v>
      </c>
      <c r="M113" s="11">
        <v>9.8307857604999827E-2</v>
      </c>
      <c r="N113" s="5">
        <v>4.4999999999999901E-3</v>
      </c>
      <c r="O113" s="5">
        <v>1.7399999999999999E-2</v>
      </c>
      <c r="P113" s="5">
        <v>-5.3316734799997434E-3</v>
      </c>
      <c r="Q113" s="5">
        <v>2.5691699604742935E-2</v>
      </c>
      <c r="R113" s="10">
        <v>3.6226019657000001E-2</v>
      </c>
      <c r="S113" s="5">
        <v>9.4655447068073606E-2</v>
      </c>
      <c r="T113" s="5">
        <v>2.0150000000000001E-2</v>
      </c>
    </row>
    <row r="114" spans="1:20" x14ac:dyDescent="0.3">
      <c r="A114" s="3">
        <v>19751</v>
      </c>
      <c r="B114" s="4">
        <f t="shared" si="2"/>
        <v>0.18784178845904784</v>
      </c>
      <c r="C114" s="4">
        <f t="shared" si="3"/>
        <v>0.21033633185662856</v>
      </c>
      <c r="D114" s="5">
        <v>4.402591170825336E-2</v>
      </c>
      <c r="E114" s="5">
        <v>4.4981002573844832E-2</v>
      </c>
      <c r="F114" s="5">
        <v>0.10136756238003838</v>
      </c>
      <c r="G114" s="5">
        <v>0.43431952662721895</v>
      </c>
      <c r="H114" s="10">
        <v>8.5988534164257897E-3</v>
      </c>
      <c r="I114" s="5">
        <v>0.97246631517281779</v>
      </c>
      <c r="J114" s="5">
        <v>2.0466950176391628E-2</v>
      </c>
      <c r="K114" s="11">
        <v>5.4900000000000004E-2</v>
      </c>
      <c r="L114" s="11">
        <v>8.2400000000000001E-2</v>
      </c>
      <c r="M114" s="11">
        <v>8.2363601749999571E-3</v>
      </c>
      <c r="N114" s="5">
        <v>2.7499999999999997E-2</v>
      </c>
      <c r="O114" s="5">
        <v>1.8100000000000005E-2</v>
      </c>
      <c r="P114" s="5">
        <v>3.9349481781000284E-2</v>
      </c>
      <c r="Q114" s="5">
        <v>1.5414258188824803E-2</v>
      </c>
      <c r="R114" s="10">
        <v>3.3780128075999998E-2</v>
      </c>
      <c r="S114" s="5">
        <v>0.22821133185662856</v>
      </c>
      <c r="T114" s="5">
        <v>1.7875000000000002E-2</v>
      </c>
    </row>
    <row r="115" spans="1:20" x14ac:dyDescent="0.3">
      <c r="A115" s="3">
        <v>19752</v>
      </c>
      <c r="B115" s="4">
        <f t="shared" si="2"/>
        <v>0.12971915523459904</v>
      </c>
      <c r="C115" s="4">
        <f t="shared" si="3"/>
        <v>0.14040962469809504</v>
      </c>
      <c r="D115" s="5">
        <v>3.897468221451833E-2</v>
      </c>
      <c r="E115" s="5">
        <v>4.0702139330773449E-2</v>
      </c>
      <c r="F115" s="5">
        <v>8.3622229225759015E-2</v>
      </c>
      <c r="G115" s="5">
        <v>0.46608040201005024</v>
      </c>
      <c r="H115" s="10">
        <v>5.4743052528179225E-3</v>
      </c>
      <c r="I115" s="5">
        <v>0.84983901978407039</v>
      </c>
      <c r="J115" s="5">
        <v>2.2961696053409884E-2</v>
      </c>
      <c r="K115" s="11">
        <v>5.3399999999999996E-2</v>
      </c>
      <c r="L115" s="11">
        <v>8.1299999999999997E-2</v>
      </c>
      <c r="M115" s="11">
        <v>3.1890493471999903E-2</v>
      </c>
      <c r="N115" s="5">
        <v>2.7900000000000001E-2</v>
      </c>
      <c r="O115" s="5">
        <v>1.8499999999999989E-2</v>
      </c>
      <c r="P115" s="5">
        <v>4.016870880000134E-3</v>
      </c>
      <c r="Q115" s="5">
        <v>1.7077798861480087E-2</v>
      </c>
      <c r="R115" s="10">
        <v>3.2681469003000001E-2</v>
      </c>
      <c r="S115" s="5">
        <v>0.15413462469809502</v>
      </c>
      <c r="T115" s="5">
        <v>1.3725000000000001E-2</v>
      </c>
    </row>
    <row r="116" spans="1:20" x14ac:dyDescent="0.3">
      <c r="A116" s="3">
        <v>19753</v>
      </c>
      <c r="B116" s="4">
        <f t="shared" si="2"/>
        <v>-0.12957805685493995</v>
      </c>
      <c r="C116" s="4">
        <f t="shared" si="3"/>
        <v>-0.12315646324815191</v>
      </c>
      <c r="D116" s="5">
        <v>4.4235125789912955E-2</v>
      </c>
      <c r="E116" s="5">
        <v>4.2702578268876613E-2</v>
      </c>
      <c r="F116" s="5">
        <v>9.252414450935971E-2</v>
      </c>
      <c r="G116" s="5">
        <v>0.47809278350515466</v>
      </c>
      <c r="H116" s="10">
        <v>5.8921648688179491E-3</v>
      </c>
      <c r="I116" s="5">
        <v>0.94094825414420313</v>
      </c>
      <c r="J116" s="5">
        <v>2.7918455986417019E-2</v>
      </c>
      <c r="K116" s="11">
        <v>6.4199999999999993E-2</v>
      </c>
      <c r="L116" s="11">
        <v>8.6199999999999999E-2</v>
      </c>
      <c r="M116" s="11">
        <v>-2.5089519768000113E-2</v>
      </c>
      <c r="N116" s="5">
        <v>2.2000000000000006E-2</v>
      </c>
      <c r="O116" s="5">
        <v>1.6600000000000004E-2</v>
      </c>
      <c r="P116" s="5">
        <v>-7.700341731999738E-3</v>
      </c>
      <c r="Q116" s="5">
        <v>1.8656716417910557E-2</v>
      </c>
      <c r="R116" s="10">
        <v>3.2777992589E-2</v>
      </c>
      <c r="S116" s="5">
        <v>-0.10980646324815191</v>
      </c>
      <c r="T116" s="5">
        <v>1.3349999999999999E-2</v>
      </c>
    </row>
    <row r="117" spans="1:20" x14ac:dyDescent="0.3">
      <c r="A117" s="3">
        <v>19754</v>
      </c>
      <c r="B117" s="4">
        <f t="shared" si="2"/>
        <v>6.6020930506028808E-2</v>
      </c>
      <c r="C117" s="4">
        <f t="shared" si="3"/>
        <v>6.9344473594334169E-2</v>
      </c>
      <c r="D117" s="5">
        <v>4.0802749750526668E-2</v>
      </c>
      <c r="E117" s="5">
        <v>4.033318719859711E-2</v>
      </c>
      <c r="F117" s="5">
        <v>8.8258121742987028E-2</v>
      </c>
      <c r="G117" s="5">
        <v>0.46231155778894473</v>
      </c>
      <c r="H117" s="10">
        <v>4.298066930372429E-3</v>
      </c>
      <c r="I117" s="5">
        <v>0.87633885102239539</v>
      </c>
      <c r="J117" s="5">
        <v>2.3710973159138928E-2</v>
      </c>
      <c r="K117" s="11">
        <v>5.4400000000000004E-2</v>
      </c>
      <c r="L117" s="11">
        <v>8.0500000000000002E-2</v>
      </c>
      <c r="M117" s="11">
        <v>7.6489457749999934E-2</v>
      </c>
      <c r="N117" s="5">
        <v>2.6099999999999998E-2</v>
      </c>
      <c r="O117" s="5">
        <v>1.7700000000000007E-2</v>
      </c>
      <c r="P117" s="5">
        <v>1.5757692762000008E-2</v>
      </c>
      <c r="Q117" s="5">
        <v>1.6483516483516425E-2</v>
      </c>
      <c r="R117" s="10">
        <v>3.2913060119999997E-2</v>
      </c>
      <c r="S117" s="5">
        <v>8.5394473594334164E-2</v>
      </c>
      <c r="T117" s="5">
        <v>1.6049999999999998E-2</v>
      </c>
    </row>
    <row r="118" spans="1:20" x14ac:dyDescent="0.3">
      <c r="A118" s="3">
        <v>19761</v>
      </c>
      <c r="B118" s="4">
        <f t="shared" si="2"/>
        <v>0.1262940059728162</v>
      </c>
      <c r="C118" s="4">
        <f t="shared" si="3"/>
        <v>0.13644647660495496</v>
      </c>
      <c r="D118" s="5">
        <v>3.5905419869611759E-2</v>
      </c>
      <c r="E118" s="5">
        <v>3.7007321231571556E-2</v>
      </c>
      <c r="F118" s="5">
        <v>8.4265836333560384E-2</v>
      </c>
      <c r="G118" s="5">
        <v>0.42609699769053117</v>
      </c>
      <c r="H118" s="10">
        <v>4.4654374833388482E-3</v>
      </c>
      <c r="I118" s="5">
        <v>0.78403121716944313</v>
      </c>
      <c r="J118" s="5">
        <v>1.5072141821724408E-2</v>
      </c>
      <c r="K118" s="11">
        <v>0.05</v>
      </c>
      <c r="L118" s="11">
        <v>7.9200000000000007E-2</v>
      </c>
      <c r="M118" s="11">
        <v>3.2109046279999776E-2</v>
      </c>
      <c r="N118" s="5">
        <v>2.9200000000000004E-2</v>
      </c>
      <c r="O118" s="5">
        <v>1.6E-2</v>
      </c>
      <c r="P118" s="5">
        <v>1.0023378876000022E-2</v>
      </c>
      <c r="Q118" s="5">
        <v>7.2072072072071336E-3</v>
      </c>
      <c r="R118" s="10">
        <v>3.3354214154E-2</v>
      </c>
      <c r="S118" s="5">
        <v>0.15004647660495496</v>
      </c>
      <c r="T118" s="5">
        <v>1.3600000000000001E-2</v>
      </c>
    </row>
    <row r="119" spans="1:20" x14ac:dyDescent="0.3">
      <c r="A119" s="3">
        <v>19762</v>
      </c>
      <c r="B119" s="4">
        <f t="shared" si="2"/>
        <v>1.2792108608137507E-2</v>
      </c>
      <c r="C119" s="4">
        <f t="shared" si="3"/>
        <v>1.3035206097655027E-2</v>
      </c>
      <c r="D119" s="5">
        <v>3.6056770233985423E-2</v>
      </c>
      <c r="E119" s="5">
        <v>3.7532441605110795E-2</v>
      </c>
      <c r="F119" s="5">
        <v>8.870349060222478E-2</v>
      </c>
      <c r="G119" s="5">
        <v>0.40648648648648644</v>
      </c>
      <c r="H119" s="10">
        <v>2.9151840557098585E-3</v>
      </c>
      <c r="I119" s="5">
        <v>0.78142763118530489</v>
      </c>
      <c r="J119" s="5">
        <v>1.8925041549295564E-2</v>
      </c>
      <c r="K119" s="11">
        <v>5.4100000000000002E-2</v>
      </c>
      <c r="L119" s="11">
        <v>8.0699999999999994E-2</v>
      </c>
      <c r="M119" s="11">
        <v>6.4797684479998008E-3</v>
      </c>
      <c r="N119" s="5">
        <v>2.6599999999999992E-2</v>
      </c>
      <c r="O119" s="5">
        <v>1.2700000000000003E-2</v>
      </c>
      <c r="P119" s="5">
        <v>-3.4410866979996957E-3</v>
      </c>
      <c r="Q119" s="5">
        <v>1.610017889087656E-2</v>
      </c>
      <c r="R119" s="10">
        <v>3.3517118287999997E-2</v>
      </c>
      <c r="S119" s="5">
        <v>2.5535206097655028E-2</v>
      </c>
      <c r="T119" s="5">
        <v>1.2500000000000001E-2</v>
      </c>
    </row>
    <row r="120" spans="1:20" x14ac:dyDescent="0.3">
      <c r="A120" s="3">
        <v>19763</v>
      </c>
      <c r="B120" s="4">
        <f t="shared" si="2"/>
        <v>5.0628846990684439E-3</v>
      </c>
      <c r="C120" s="4">
        <f t="shared" si="3"/>
        <v>5.1443719068127256E-3</v>
      </c>
      <c r="D120" s="5">
        <v>3.6583048270619541E-2</v>
      </c>
      <c r="E120" s="5">
        <v>3.7411330288601691E-2</v>
      </c>
      <c r="F120" s="5">
        <v>9.074496389205626E-2</v>
      </c>
      <c r="G120" s="5">
        <v>0.40314136125654448</v>
      </c>
      <c r="H120" s="10">
        <v>2.1223628368283402E-3</v>
      </c>
      <c r="I120" s="5">
        <v>0.79136327371514559</v>
      </c>
      <c r="J120" s="5">
        <v>2.3783504264894621E-2</v>
      </c>
      <c r="K120" s="11">
        <v>5.0799999999999998E-2</v>
      </c>
      <c r="L120" s="11">
        <v>7.8100000000000003E-2</v>
      </c>
      <c r="M120" s="11">
        <v>4.3986016409999884E-2</v>
      </c>
      <c r="N120" s="5">
        <v>2.7300000000000005E-2</v>
      </c>
      <c r="O120" s="5">
        <v>1.0199999999999987E-2</v>
      </c>
      <c r="P120" s="5">
        <v>1.1698521562999886E-2</v>
      </c>
      <c r="Q120" s="5">
        <v>1.4084507042253502E-2</v>
      </c>
      <c r="R120" s="10">
        <v>3.3960744713E-2</v>
      </c>
      <c r="S120" s="5">
        <v>1.8669371906812726E-2</v>
      </c>
      <c r="T120" s="5">
        <v>1.3525000000000001E-2</v>
      </c>
    </row>
    <row r="121" spans="1:20" x14ac:dyDescent="0.3">
      <c r="A121" s="3">
        <v>19764</v>
      </c>
      <c r="B121" s="4">
        <f t="shared" si="2"/>
        <v>1.8299344650315373E-2</v>
      </c>
      <c r="C121" s="4">
        <f t="shared" si="3"/>
        <v>1.8702344758232559E-2</v>
      </c>
      <c r="D121" s="5">
        <v>3.768844221105528E-2</v>
      </c>
      <c r="E121" s="5">
        <v>3.9666993143976495E-2</v>
      </c>
      <c r="F121" s="5">
        <v>9.2220361064582174E-2</v>
      </c>
      <c r="G121" s="5">
        <v>0.40867810292633699</v>
      </c>
      <c r="H121" s="10">
        <v>2.9641455529961147E-3</v>
      </c>
      <c r="I121" s="5">
        <v>0.7799731249688947</v>
      </c>
      <c r="J121" s="5">
        <v>2.8567357816801194E-2</v>
      </c>
      <c r="K121" s="11">
        <v>4.3499999999999997E-2</v>
      </c>
      <c r="L121" s="11">
        <v>7.2099999999999997E-2</v>
      </c>
      <c r="M121" s="11">
        <v>7.6677281652000051E-2</v>
      </c>
      <c r="N121" s="5">
        <v>2.86E-2</v>
      </c>
      <c r="O121" s="5">
        <v>1.139999999999998E-2</v>
      </c>
      <c r="P121" s="5">
        <v>-1.4964031420001689E-3</v>
      </c>
      <c r="Q121" s="5">
        <v>1.0416666666666741E-2</v>
      </c>
      <c r="R121" s="10">
        <v>3.4309565229999998E-2</v>
      </c>
      <c r="S121" s="5">
        <v>3.1402344758232559E-2</v>
      </c>
      <c r="T121" s="5">
        <v>1.2699999999999999E-2</v>
      </c>
    </row>
    <row r="122" spans="1:20" x14ac:dyDescent="0.3">
      <c r="A122" s="3">
        <v>19771</v>
      </c>
      <c r="B122" s="4">
        <f t="shared" si="2"/>
        <v>-9.0087813533554856E-2</v>
      </c>
      <c r="C122" s="4">
        <f t="shared" si="3"/>
        <v>-8.7085937832628552E-2</v>
      </c>
      <c r="D122" s="5">
        <v>4.2572647835805735E-2</v>
      </c>
      <c r="E122" s="5">
        <v>4.1975556000801446E-2</v>
      </c>
      <c r="F122" s="5">
        <v>0.10241820768136557</v>
      </c>
      <c r="G122" s="5">
        <v>0.4156746031746032</v>
      </c>
      <c r="H122" s="10">
        <v>1.696038309014678E-3</v>
      </c>
      <c r="I122" s="5">
        <v>0.86842992830176369</v>
      </c>
      <c r="J122" s="5">
        <v>3.03383534535859E-2</v>
      </c>
      <c r="K122" s="11">
        <v>4.5999999999999999E-2</v>
      </c>
      <c r="L122" s="11">
        <v>7.7200000000000005E-2</v>
      </c>
      <c r="M122" s="11">
        <v>-3.4805819907999913E-2</v>
      </c>
      <c r="N122" s="5">
        <v>3.1200000000000006E-2</v>
      </c>
      <c r="O122" s="5">
        <v>1.0199999999999987E-2</v>
      </c>
      <c r="P122" s="5">
        <v>1.1663369547999958E-2</v>
      </c>
      <c r="Q122" s="5">
        <v>2.2336769759450092E-2</v>
      </c>
      <c r="R122" s="10">
        <v>3.5231533774999997E-2</v>
      </c>
      <c r="S122" s="5">
        <v>-7.6210937832628556E-2</v>
      </c>
      <c r="T122" s="5">
        <v>1.0874999999999999E-2</v>
      </c>
    </row>
    <row r="123" spans="1:20" x14ac:dyDescent="0.3">
      <c r="A123" s="3">
        <v>19772</v>
      </c>
      <c r="B123" s="4">
        <f t="shared" si="2"/>
        <v>2.0697625076394534E-2</v>
      </c>
      <c r="C123" s="4">
        <f t="shared" si="3"/>
        <v>2.1153809401797185E-2</v>
      </c>
      <c r="D123" s="5">
        <v>4.3391719745222934E-2</v>
      </c>
      <c r="E123" s="5">
        <v>4.5359966708281317E-2</v>
      </c>
      <c r="F123" s="5">
        <v>0.10370222929936306</v>
      </c>
      <c r="G123" s="5">
        <v>0.41842610364683303</v>
      </c>
      <c r="H123" s="10">
        <v>2.1830175558579554E-3</v>
      </c>
      <c r="I123" s="5">
        <v>0.87111208119611494</v>
      </c>
      <c r="J123" s="5">
        <v>3.1941096047936837E-2</v>
      </c>
      <c r="K123" s="11">
        <v>5.0199999999999995E-2</v>
      </c>
      <c r="L123" s="11">
        <v>7.5399999999999995E-2</v>
      </c>
      <c r="M123" s="11">
        <v>3.6411645500000089E-2</v>
      </c>
      <c r="N123" s="5">
        <v>2.52E-2</v>
      </c>
      <c r="O123" s="5">
        <v>9.5999999999999974E-3</v>
      </c>
      <c r="P123" s="5">
        <v>2.1567094999999092E-3</v>
      </c>
      <c r="Q123" s="5">
        <v>2.0168067226890907E-2</v>
      </c>
      <c r="R123" s="10">
        <v>3.5838758933000002E-2</v>
      </c>
      <c r="S123" s="5">
        <v>3.2653809401797185E-2</v>
      </c>
      <c r="T123" s="5">
        <v>1.15E-2</v>
      </c>
    </row>
    <row r="124" spans="1:20" x14ac:dyDescent="0.3">
      <c r="A124" s="3">
        <v>19773</v>
      </c>
      <c r="B124" s="4">
        <f t="shared" si="2"/>
        <v>-4.1257279719102764E-2</v>
      </c>
      <c r="C124" s="4">
        <f t="shared" si="3"/>
        <v>-4.0925026031804861E-2</v>
      </c>
      <c r="D124" s="5">
        <v>4.6617631824303327E-2</v>
      </c>
      <c r="E124" s="5">
        <v>4.650201508732045E-2</v>
      </c>
      <c r="F124" s="5">
        <v>0.11094996374184192</v>
      </c>
      <c r="G124" s="5">
        <v>0.42016806722689071</v>
      </c>
      <c r="H124" s="10">
        <v>1.6403504648934352E-3</v>
      </c>
      <c r="I124" s="5">
        <v>0.94226251608409772</v>
      </c>
      <c r="J124" s="5">
        <v>3.2367569874148218E-2</v>
      </c>
      <c r="K124" s="11">
        <v>5.8099999999999999E-2</v>
      </c>
      <c r="L124" s="11">
        <v>7.6399999999999996E-2</v>
      </c>
      <c r="M124" s="11">
        <v>9.7246819400000906E-3</v>
      </c>
      <c r="N124" s="5">
        <v>1.8299999999999997E-2</v>
      </c>
      <c r="O124" s="5">
        <v>8.8000000000000161E-3</v>
      </c>
      <c r="P124" s="5">
        <v>1.1397130200001548E-3</v>
      </c>
      <c r="Q124" s="5">
        <v>1.1532125205930832E-2</v>
      </c>
      <c r="R124" s="10">
        <v>3.6161718416999999E-2</v>
      </c>
      <c r="S124" s="5">
        <v>-2.8375026031804862E-2</v>
      </c>
      <c r="T124" s="5">
        <v>1.2549999999999999E-2</v>
      </c>
    </row>
    <row r="125" spans="1:20" x14ac:dyDescent="0.3">
      <c r="A125" s="3">
        <v>19774</v>
      </c>
      <c r="B125" s="4">
        <f t="shared" si="2"/>
        <v>-1.5664028189397532E-2</v>
      </c>
      <c r="C125" s="4">
        <f t="shared" si="3"/>
        <v>-1.576773269554187E-2</v>
      </c>
      <c r="D125" s="5">
        <v>4.9106203995793907E-2</v>
      </c>
      <c r="E125" s="5">
        <v>4.9246019192238741E-2</v>
      </c>
      <c r="F125" s="5">
        <v>0.11451104100946373</v>
      </c>
      <c r="G125" s="5">
        <v>0.42883379247015607</v>
      </c>
      <c r="H125" s="10">
        <v>2.740346761712701E-3</v>
      </c>
      <c r="I125" s="5">
        <v>0.96033302453168434</v>
      </c>
      <c r="J125" s="5">
        <v>3.0474396412762304E-2</v>
      </c>
      <c r="K125" s="11">
        <v>6.0700000000000004E-2</v>
      </c>
      <c r="L125" s="11">
        <v>8.0299999999999996E-2</v>
      </c>
      <c r="M125" s="11">
        <v>-1.6885036967999922E-2</v>
      </c>
      <c r="N125" s="5">
        <v>1.9599999999999992E-2</v>
      </c>
      <c r="O125" s="5">
        <v>8.0000000000000071E-3</v>
      </c>
      <c r="P125" s="5">
        <v>8.6379503580000794E-3</v>
      </c>
      <c r="Q125" s="5">
        <v>1.1400651465798051E-2</v>
      </c>
      <c r="R125" s="10">
        <v>3.6850774188999999E-2</v>
      </c>
      <c r="S125" s="5">
        <v>-1.2427326955418705E-3</v>
      </c>
      <c r="T125" s="5">
        <v>1.4525E-2</v>
      </c>
    </row>
    <row r="126" spans="1:20" x14ac:dyDescent="0.3">
      <c r="A126" s="3">
        <v>19781</v>
      </c>
      <c r="B126" s="4">
        <f t="shared" si="2"/>
        <v>-6.7445436204725637E-2</v>
      </c>
      <c r="C126" s="4">
        <f t="shared" si="3"/>
        <v>-6.6211008559278361E-2</v>
      </c>
      <c r="D126" s="5">
        <v>5.3805627171841723E-2</v>
      </c>
      <c r="E126" s="5">
        <v>5.5147058823529403E-2</v>
      </c>
      <c r="F126" s="5">
        <v>0.12240780181593992</v>
      </c>
      <c r="G126" s="5">
        <v>0.43956043956043955</v>
      </c>
      <c r="H126" s="10">
        <v>2.200801684216058E-3</v>
      </c>
      <c r="I126" s="5">
        <v>1.1114925530791169</v>
      </c>
      <c r="J126" s="5">
        <v>2.7568545069282704E-2</v>
      </c>
      <c r="K126" s="11">
        <v>6.2899999999999998E-2</v>
      </c>
      <c r="L126" s="11">
        <v>8.3099999999999993E-2</v>
      </c>
      <c r="M126" s="11">
        <v>-9.687233279999985E-3</v>
      </c>
      <c r="N126" s="5">
        <v>2.0199999999999996E-2</v>
      </c>
      <c r="O126" s="5">
        <v>7.4999999999999928E-3</v>
      </c>
      <c r="P126" s="5">
        <v>1.0025692641999928E-2</v>
      </c>
      <c r="Q126" s="5">
        <v>2.0933977455716457E-2</v>
      </c>
      <c r="R126" s="10">
        <v>3.6738386403999998E-2</v>
      </c>
      <c r="S126" s="5">
        <v>-5.1036008559278367E-2</v>
      </c>
      <c r="T126" s="5">
        <v>1.5175000000000001E-2</v>
      </c>
    </row>
    <row r="127" spans="1:20" x14ac:dyDescent="0.3">
      <c r="A127" s="3">
        <v>19782</v>
      </c>
      <c r="B127" s="4">
        <f t="shared" si="2"/>
        <v>6.6532935884352704E-2</v>
      </c>
      <c r="C127" s="4">
        <f t="shared" si="3"/>
        <v>6.9877984940810864E-2</v>
      </c>
      <c r="D127" s="5">
        <v>5.1397466764367218E-2</v>
      </c>
      <c r="E127" s="5">
        <v>5.0493624023035789E-2</v>
      </c>
      <c r="F127" s="5">
        <v>0.11755469486025333</v>
      </c>
      <c r="G127" s="5">
        <v>0.43722172751558325</v>
      </c>
      <c r="H127" s="10">
        <v>3.8536503010952478E-3</v>
      </c>
      <c r="I127" s="5">
        <v>1.0279015812931191</v>
      </c>
      <c r="J127" s="5">
        <v>1.6522488119996164E-2</v>
      </c>
      <c r="K127" s="11">
        <v>6.7299999999999999E-2</v>
      </c>
      <c r="L127" s="11">
        <v>8.6499999999999994E-2</v>
      </c>
      <c r="M127" s="11">
        <v>-1.2458057979999881E-2</v>
      </c>
      <c r="N127" s="5">
        <v>1.9199999999999995E-2</v>
      </c>
      <c r="O127" s="5">
        <v>8.4000000000000047E-3</v>
      </c>
      <c r="P127" s="5">
        <v>1.6528251119998227E-3</v>
      </c>
      <c r="Q127" s="5">
        <v>2.8391167192429068E-2</v>
      </c>
      <c r="R127" s="10">
        <v>3.9125188768000002E-2</v>
      </c>
      <c r="S127" s="5">
        <v>8.5602984940810867E-2</v>
      </c>
      <c r="T127" s="5">
        <v>1.5724999999999999E-2</v>
      </c>
    </row>
    <row r="128" spans="1:20" x14ac:dyDescent="0.3">
      <c r="A128" s="3">
        <v>19783</v>
      </c>
      <c r="B128" s="4">
        <f t="shared" si="2"/>
        <v>6.6636227239963569E-2</v>
      </c>
      <c r="C128" s="4">
        <f t="shared" si="3"/>
        <v>7.0065921361369549E-2</v>
      </c>
      <c r="D128" s="5">
        <v>4.895650477862297E-2</v>
      </c>
      <c r="E128" s="5">
        <v>4.8601026236808981E-2</v>
      </c>
      <c r="F128" s="5">
        <v>0.11283401599375853</v>
      </c>
      <c r="G128" s="5">
        <v>0.43388072601555744</v>
      </c>
      <c r="H128" s="10">
        <v>2.8001445446047355E-3</v>
      </c>
      <c r="I128" s="5">
        <v>0.97225751310896014</v>
      </c>
      <c r="J128" s="5">
        <v>1.2703001749812993E-2</v>
      </c>
      <c r="K128" s="11">
        <v>7.85E-2</v>
      </c>
      <c r="L128" s="11">
        <v>8.5999999999999993E-2</v>
      </c>
      <c r="M128" s="11">
        <v>2.5425775555999897E-2</v>
      </c>
      <c r="N128" s="5">
        <v>7.4999999999999928E-3</v>
      </c>
      <c r="O128" s="5">
        <v>7.3000000000000148E-3</v>
      </c>
      <c r="P128" s="5">
        <v>5.6607085080002673E-3</v>
      </c>
      <c r="Q128" s="5">
        <v>1.9938650306748462E-2</v>
      </c>
      <c r="R128" s="10">
        <v>3.9889410506999998E-2</v>
      </c>
      <c r="S128" s="5">
        <v>8.6890921361369555E-2</v>
      </c>
      <c r="T128" s="5">
        <v>1.6825E-2</v>
      </c>
    </row>
    <row r="129" spans="1:20" x14ac:dyDescent="0.3">
      <c r="A129" s="3">
        <v>19784</v>
      </c>
      <c r="B129" s="4">
        <f t="shared" si="2"/>
        <v>-7.0364948561390389E-2</v>
      </c>
      <c r="C129" s="4">
        <f t="shared" si="3"/>
        <v>-6.9279841771442197E-2</v>
      </c>
      <c r="D129" s="5">
        <v>5.2752054937051297E-2</v>
      </c>
      <c r="E129" s="5">
        <v>5.353748680042239E-2</v>
      </c>
      <c r="F129" s="5">
        <v>0.1282905004682135</v>
      </c>
      <c r="G129" s="5">
        <v>0.41119221411192214</v>
      </c>
      <c r="H129" s="10">
        <v>6.9465423993365456E-3</v>
      </c>
      <c r="I129" s="5">
        <v>1.0457012956360789</v>
      </c>
      <c r="J129" s="5">
        <v>1.4850552202063072E-2</v>
      </c>
      <c r="K129" s="11">
        <v>9.0800000000000006E-2</v>
      </c>
      <c r="L129" s="11">
        <v>8.9800000000000005E-2</v>
      </c>
      <c r="M129" s="11">
        <v>-1.4458786000000057E-2</v>
      </c>
      <c r="N129" s="5">
        <v>-1.0000000000000009E-3</v>
      </c>
      <c r="O129" s="5">
        <v>7.7999999999999875E-3</v>
      </c>
      <c r="P129" s="5">
        <v>-6.1178304899998093E-3</v>
      </c>
      <c r="Q129" s="5">
        <v>1.8045112781954975E-2</v>
      </c>
      <c r="R129" s="10">
        <v>4.0573913750000003E-2</v>
      </c>
      <c r="S129" s="5">
        <v>-4.9654841771442193E-2</v>
      </c>
      <c r="T129" s="5">
        <v>1.9625E-2</v>
      </c>
    </row>
    <row r="130" spans="1:20" x14ac:dyDescent="0.3">
      <c r="A130" s="3">
        <v>19791</v>
      </c>
      <c r="B130" s="4">
        <f t="shared" si="2"/>
        <v>4.6073225049375811E-2</v>
      </c>
      <c r="C130" s="4">
        <f t="shared" si="3"/>
        <v>4.8221415488165442E-2</v>
      </c>
      <c r="D130" s="5">
        <v>5.118614036814647E-2</v>
      </c>
      <c r="E130" s="5">
        <v>5.4009140008309101E-2</v>
      </c>
      <c r="F130" s="5">
        <v>0.13091839748006695</v>
      </c>
      <c r="G130" s="5">
        <v>0.39097744360902253</v>
      </c>
      <c r="H130" s="10">
        <v>2.6159272335218781E-3</v>
      </c>
      <c r="I130" s="5">
        <v>1.0330789394326012</v>
      </c>
      <c r="J130" s="5">
        <v>1.1670307720664932E-2</v>
      </c>
      <c r="K130" s="11">
        <v>9.4800000000000009E-2</v>
      </c>
      <c r="L130" s="11">
        <v>9.0200000000000002E-2</v>
      </c>
      <c r="M130" s="11">
        <v>1.8311063734999911E-2</v>
      </c>
      <c r="N130" s="5">
        <v>-4.6000000000000069E-3</v>
      </c>
      <c r="O130" s="5">
        <v>8.9000000000000051E-3</v>
      </c>
      <c r="P130" s="5">
        <v>-2.2897202470000266E-3</v>
      </c>
      <c r="Q130" s="5">
        <v>3.1019202363367748E-2</v>
      </c>
      <c r="R130" s="10">
        <v>4.0871119019999999E-2</v>
      </c>
      <c r="S130" s="5">
        <v>7.092141548816544E-2</v>
      </c>
      <c r="T130" s="5">
        <v>2.2700000000000001E-2</v>
      </c>
    </row>
    <row r="131" spans="1:20" x14ac:dyDescent="0.3">
      <c r="A131" s="3">
        <v>19792</v>
      </c>
      <c r="B131" s="4">
        <f t="shared" ref="B131:B194" si="4">LN(1+S131) - LN(1+T131)</f>
        <v>3.3219352647234149E-3</v>
      </c>
      <c r="C131" s="4">
        <f t="shared" ref="C131:C194" si="5">S131-T131</f>
        <v>3.4063197849392678E-3</v>
      </c>
      <c r="D131" s="5">
        <v>5.1890000971722867E-2</v>
      </c>
      <c r="E131" s="5">
        <v>5.3895841744045214E-2</v>
      </c>
      <c r="F131" s="5">
        <v>0.13584685647653291</v>
      </c>
      <c r="G131" s="5">
        <v>0.38197424892703863</v>
      </c>
      <c r="H131" s="10">
        <v>2.1425432086627891E-3</v>
      </c>
      <c r="I131" s="5">
        <v>1.0578636072115728</v>
      </c>
      <c r="J131" s="5">
        <v>1.2069356528299508E-2</v>
      </c>
      <c r="K131" s="11">
        <v>9.06E-2</v>
      </c>
      <c r="L131" s="11">
        <v>8.77E-2</v>
      </c>
      <c r="M131" s="11">
        <v>4.6161978848000107E-2</v>
      </c>
      <c r="N131" s="5">
        <v>-2.8999999999999998E-3</v>
      </c>
      <c r="O131" s="5">
        <v>1.0900000000000007E-2</v>
      </c>
      <c r="P131" s="5">
        <v>-1.3102881120004017E-3</v>
      </c>
      <c r="Q131" s="5">
        <v>3.5816618911174825E-2</v>
      </c>
      <c r="R131" s="10">
        <v>4.0193833237000001E-2</v>
      </c>
      <c r="S131" s="5">
        <v>2.710631978493927E-2</v>
      </c>
      <c r="T131" s="5">
        <v>2.3700000000000002E-2</v>
      </c>
    </row>
    <row r="132" spans="1:20" x14ac:dyDescent="0.3">
      <c r="A132" s="3">
        <v>19793</v>
      </c>
      <c r="B132" s="4">
        <f t="shared" si="4"/>
        <v>5.1023461923156703E-2</v>
      </c>
      <c r="C132" s="4">
        <f t="shared" si="5"/>
        <v>5.3533255848723205E-2</v>
      </c>
      <c r="D132" s="5">
        <v>5.0402488108305894E-2</v>
      </c>
      <c r="E132" s="5">
        <v>5.0402488108305894E-2</v>
      </c>
      <c r="F132" s="5">
        <v>0.13382729601170876</v>
      </c>
      <c r="G132" s="5">
        <v>0.37662337662337658</v>
      </c>
      <c r="H132" s="10">
        <v>2.4472309119693211E-3</v>
      </c>
      <c r="I132" s="5">
        <v>1.0137949873659768</v>
      </c>
      <c r="J132" s="5">
        <v>9.4038938794179933E-3</v>
      </c>
      <c r="K132" s="11">
        <v>0.1026</v>
      </c>
      <c r="L132" s="11">
        <v>9.2700000000000005E-2</v>
      </c>
      <c r="M132" s="11">
        <v>-2.402421294999979E-2</v>
      </c>
      <c r="N132" s="5">
        <v>-9.8999999999999921E-3</v>
      </c>
      <c r="O132" s="5">
        <v>1.0999999999999996E-2</v>
      </c>
      <c r="P132" s="5">
        <v>3.6671362439997246E-3</v>
      </c>
      <c r="Q132" s="5">
        <v>3.1811894882434189E-2</v>
      </c>
      <c r="R132" s="10">
        <v>4.0762081335999997E-2</v>
      </c>
      <c r="S132" s="5">
        <v>7.6183255848723208E-2</v>
      </c>
      <c r="T132" s="5">
        <v>2.265E-2</v>
      </c>
    </row>
    <row r="133" spans="1:20" x14ac:dyDescent="0.3">
      <c r="A133" s="3">
        <v>19794</v>
      </c>
      <c r="B133" s="4">
        <f t="shared" si="4"/>
        <v>-2.3529132126668212E-2</v>
      </c>
      <c r="C133" s="4">
        <f t="shared" si="5"/>
        <v>-2.3850957842600544E-2</v>
      </c>
      <c r="D133" s="5">
        <v>5.234389475634612E-2</v>
      </c>
      <c r="E133" s="5">
        <v>5.322155237377544E-2</v>
      </c>
      <c r="F133" s="5">
        <v>0.13766907541226608</v>
      </c>
      <c r="G133" s="5">
        <v>0.38021534320323019</v>
      </c>
      <c r="H133" s="10">
        <v>4.6173220941312931E-3</v>
      </c>
      <c r="I133" s="5">
        <v>1.0619500679590814</v>
      </c>
      <c r="J133" s="5">
        <v>1.0514435016064295E-2</v>
      </c>
      <c r="K133" s="11">
        <v>0.12039999999999999</v>
      </c>
      <c r="L133" s="11">
        <v>0.1012</v>
      </c>
      <c r="M133" s="11">
        <v>-5.0232518407000049E-2</v>
      </c>
      <c r="N133" s="5">
        <v>-1.9199999999999995E-2</v>
      </c>
      <c r="O133" s="5">
        <v>1.3200000000000003E-2</v>
      </c>
      <c r="P133" s="5">
        <v>-2.8600502952999873E-2</v>
      </c>
      <c r="Q133" s="5">
        <v>2.8150134048257502E-2</v>
      </c>
      <c r="R133" s="10">
        <v>4.0239011599000001E-2</v>
      </c>
      <c r="S133" s="5">
        <v>1.7990421573994553E-3</v>
      </c>
      <c r="T133" s="5">
        <v>2.5649999999999999E-2</v>
      </c>
    </row>
    <row r="134" spans="1:20" x14ac:dyDescent="0.3">
      <c r="A134" s="3">
        <v>19801</v>
      </c>
      <c r="B134" s="4">
        <f t="shared" si="4"/>
        <v>-7.0152711536183229E-2</v>
      </c>
      <c r="C134" s="4">
        <f t="shared" si="5"/>
        <v>-6.9787788066183562E-2</v>
      </c>
      <c r="D134" s="5">
        <v>5.6812616318934271E-2</v>
      </c>
      <c r="E134" s="5">
        <v>5.1029385887735354E-2</v>
      </c>
      <c r="F134" s="5">
        <v>0.14976981095112155</v>
      </c>
      <c r="G134" s="5">
        <v>0.37933289731850883</v>
      </c>
      <c r="H134" s="10">
        <v>8.4259177876994627E-3</v>
      </c>
      <c r="I134" s="5">
        <v>1.0937321030862233</v>
      </c>
      <c r="J134" s="5">
        <v>1.1877413210328735E-2</v>
      </c>
      <c r="K134" s="11">
        <v>0.152</v>
      </c>
      <c r="L134" s="11">
        <v>0.1239</v>
      </c>
      <c r="M134" s="11">
        <v>-0.14514333480499997</v>
      </c>
      <c r="N134" s="5">
        <v>-2.81E-2</v>
      </c>
      <c r="O134" s="5">
        <v>1.4899999999999969E-2</v>
      </c>
      <c r="P134" s="5">
        <v>1.301819145500005E-2</v>
      </c>
      <c r="Q134" s="5">
        <v>4.4328552803128973E-2</v>
      </c>
      <c r="R134" s="10">
        <v>4.0066744389E-2</v>
      </c>
      <c r="S134" s="5">
        <v>-3.968778806618356E-2</v>
      </c>
      <c r="T134" s="5">
        <v>3.0099999999999998E-2</v>
      </c>
    </row>
    <row r="135" spans="1:20" x14ac:dyDescent="0.3">
      <c r="A135" s="3">
        <v>19802</v>
      </c>
      <c r="B135" s="4">
        <f t="shared" si="4"/>
        <v>8.7584500806727278E-2</v>
      </c>
      <c r="C135" s="4">
        <f t="shared" si="5"/>
        <v>9.5012806943042288E-2</v>
      </c>
      <c r="D135" s="5">
        <v>5.1995798319327734E-2</v>
      </c>
      <c r="E135" s="5">
        <v>5.3398058252427189E-2</v>
      </c>
      <c r="F135" s="5">
        <v>0.13077731092436976</v>
      </c>
      <c r="G135" s="5">
        <v>0.39759036144578319</v>
      </c>
      <c r="H135" s="10">
        <v>5.6263507402762097E-3</v>
      </c>
      <c r="I135" s="5">
        <v>0.99018342704396722</v>
      </c>
      <c r="J135" s="5">
        <v>1.5304374891236249E-2</v>
      </c>
      <c r="K135" s="11">
        <v>7.0699999999999999E-2</v>
      </c>
      <c r="L135" s="11">
        <v>0.10059999999999999</v>
      </c>
      <c r="M135" s="11">
        <v>0.24368224118299997</v>
      </c>
      <c r="N135" s="5">
        <v>2.9899999999999996E-2</v>
      </c>
      <c r="O135" s="5">
        <v>2.1300000000000013E-2</v>
      </c>
      <c r="P135" s="5">
        <v>-1.4121202229999685E-3</v>
      </c>
      <c r="Q135" s="5">
        <v>3.2459425717852763E-2</v>
      </c>
      <c r="R135" s="10">
        <v>3.7647274071999998E-2</v>
      </c>
      <c r="S135" s="5">
        <v>0.13301280694304229</v>
      </c>
      <c r="T135" s="5">
        <v>3.7999999999999999E-2</v>
      </c>
    </row>
    <row r="136" spans="1:20" x14ac:dyDescent="0.3">
      <c r="A136" s="3">
        <v>19803</v>
      </c>
      <c r="B136" s="4">
        <f t="shared" si="4"/>
        <v>8.9370609275513074E-2</v>
      </c>
      <c r="C136" s="4">
        <f t="shared" si="5"/>
        <v>9.5138199406818225E-2</v>
      </c>
      <c r="D136" s="5">
        <v>4.8381954407779378E-2</v>
      </c>
      <c r="E136" s="5">
        <v>4.9599607779048871E-2</v>
      </c>
      <c r="F136" s="5">
        <v>0.1166905786704926</v>
      </c>
      <c r="G136" s="5">
        <v>0.4146174863387978</v>
      </c>
      <c r="H136" s="10">
        <v>5.7283951170615261E-3</v>
      </c>
      <c r="I136" s="5">
        <v>0.92168765148752707</v>
      </c>
      <c r="J136" s="5">
        <v>2.3796818682960661E-2</v>
      </c>
      <c r="K136" s="11">
        <v>0.1027</v>
      </c>
      <c r="L136" s="11">
        <v>0.11849999999999999</v>
      </c>
      <c r="M136" s="11">
        <v>-0.112618595584</v>
      </c>
      <c r="N136" s="5">
        <v>1.5799999999999995E-2</v>
      </c>
      <c r="O136" s="5">
        <v>1.6799999999999982E-2</v>
      </c>
      <c r="P136" s="5">
        <v>5.4537810989998547E-3</v>
      </c>
      <c r="Q136" s="5">
        <v>1.5719467956469169E-2</v>
      </c>
      <c r="R136" s="10">
        <v>3.7421061765999998E-2</v>
      </c>
      <c r="S136" s="5">
        <v>0.11281319940681822</v>
      </c>
      <c r="T136" s="5">
        <v>1.7675E-2</v>
      </c>
    </row>
    <row r="137" spans="1:20" x14ac:dyDescent="0.3">
      <c r="A137" s="3">
        <v>19804</v>
      </c>
      <c r="B137" s="4">
        <f t="shared" si="4"/>
        <v>6.546724682831144E-2</v>
      </c>
      <c r="C137" s="4">
        <f t="shared" si="5"/>
        <v>6.9394880744821363E-2</v>
      </c>
      <c r="D137" s="5">
        <v>4.5374189746611671E-2</v>
      </c>
      <c r="E137" s="5">
        <v>4.3837176202675771E-2</v>
      </c>
      <c r="F137" s="5">
        <v>0.10916322922804951</v>
      </c>
      <c r="G137" s="5">
        <v>0.41565452091767879</v>
      </c>
      <c r="H137" s="10">
        <v>7.5612440562788262E-3</v>
      </c>
      <c r="I137" s="5">
        <v>0.89150302389028924</v>
      </c>
      <c r="J137" s="5">
        <v>2.6817093504646283E-2</v>
      </c>
      <c r="K137" s="11">
        <v>0.15490000000000001</v>
      </c>
      <c r="L137" s="11">
        <v>0.11990000000000001</v>
      </c>
      <c r="M137" s="11">
        <v>1.8053982399999891E-2</v>
      </c>
      <c r="N137" s="5">
        <v>-3.5000000000000003E-2</v>
      </c>
      <c r="O137" s="5">
        <v>1.9300000000000012E-2</v>
      </c>
      <c r="P137" s="5">
        <v>-7.833842743999897E-3</v>
      </c>
      <c r="Q137" s="5">
        <v>2.7380952380952284E-2</v>
      </c>
      <c r="R137" s="10">
        <v>3.7734262684999999E-2</v>
      </c>
      <c r="S137" s="5">
        <v>9.5069880744821367E-2</v>
      </c>
      <c r="T137" s="5">
        <v>2.5675E-2</v>
      </c>
    </row>
    <row r="138" spans="1:20" x14ac:dyDescent="0.3">
      <c r="A138" s="3">
        <v>19811</v>
      </c>
      <c r="B138" s="4">
        <f t="shared" si="4"/>
        <v>-2.3718259814872085E-2</v>
      </c>
      <c r="C138" s="4">
        <f t="shared" si="5"/>
        <v>-2.4346875306710307E-2</v>
      </c>
      <c r="D138" s="5">
        <v>4.6176470588235298E-2</v>
      </c>
      <c r="E138" s="5">
        <v>4.7840329092709681E-2</v>
      </c>
      <c r="F138" s="5">
        <v>0.10720588235294118</v>
      </c>
      <c r="G138" s="5">
        <v>0.43072702331961593</v>
      </c>
      <c r="H138" s="10">
        <v>5.2042881943776473E-3</v>
      </c>
      <c r="I138" s="5">
        <v>0.92492055744269674</v>
      </c>
      <c r="J138" s="5">
        <v>2.7940014751002416E-2</v>
      </c>
      <c r="K138" s="11">
        <v>0.1336</v>
      </c>
      <c r="L138" s="11">
        <v>0.12479999999999999</v>
      </c>
      <c r="M138" s="11">
        <v>-1.8192540399999957E-2</v>
      </c>
      <c r="N138" s="5">
        <v>-8.8000000000000023E-3</v>
      </c>
      <c r="O138" s="5">
        <v>2.0100000000000007E-2</v>
      </c>
      <c r="P138" s="5">
        <v>8.5122260699997954E-3</v>
      </c>
      <c r="Q138" s="5">
        <v>2.5492468134414858E-2</v>
      </c>
      <c r="R138" s="10">
        <v>3.8016779819E-2</v>
      </c>
      <c r="S138" s="5">
        <v>1.4378124693289696E-2</v>
      </c>
      <c r="T138" s="5">
        <v>3.8725000000000002E-2</v>
      </c>
    </row>
    <row r="139" spans="1:20" x14ac:dyDescent="0.3">
      <c r="A139" s="3">
        <v>19812</v>
      </c>
      <c r="B139" s="4">
        <f t="shared" si="4"/>
        <v>-5.5043921202027946E-2</v>
      </c>
      <c r="C139" s="4">
        <f t="shared" si="5"/>
        <v>-5.5345206390437066E-2</v>
      </c>
      <c r="D139" s="5">
        <v>4.870055636003353E-2</v>
      </c>
      <c r="E139" s="5">
        <v>4.8193679764688135E-2</v>
      </c>
      <c r="F139" s="5">
        <v>0.1143967685389833</v>
      </c>
      <c r="G139" s="5">
        <v>0.42571618920719517</v>
      </c>
      <c r="H139" s="10">
        <v>2.7492334076918822E-3</v>
      </c>
      <c r="I139" s="5">
        <v>0.95047498157399068</v>
      </c>
      <c r="J139" s="5">
        <v>2.7893432122262422E-2</v>
      </c>
      <c r="K139" s="11">
        <v>0.14730000000000001</v>
      </c>
      <c r="L139" s="11">
        <v>0.13039999999999999</v>
      </c>
      <c r="M139" s="11">
        <v>-1.0850446915999901E-2</v>
      </c>
      <c r="N139" s="5">
        <v>-1.6900000000000026E-2</v>
      </c>
      <c r="O139" s="5">
        <v>2.049999999999999E-2</v>
      </c>
      <c r="P139" s="5">
        <v>-8.8756468490002183E-3</v>
      </c>
      <c r="Q139" s="5">
        <v>2.3728813559321882E-2</v>
      </c>
      <c r="R139" s="10">
        <v>3.8292464555000003E-2</v>
      </c>
      <c r="S139" s="5">
        <v>-2.1945206390437066E-2</v>
      </c>
      <c r="T139" s="5">
        <v>3.3399999999999999E-2</v>
      </c>
    </row>
    <row r="140" spans="1:20" x14ac:dyDescent="0.3">
      <c r="A140" s="3">
        <v>19813</v>
      </c>
      <c r="B140" s="4">
        <f t="shared" si="4"/>
        <v>-0.14437529819430484</v>
      </c>
      <c r="C140" s="4">
        <f t="shared" si="5"/>
        <v>-0.13938780538650897</v>
      </c>
      <c r="D140" s="5">
        <v>5.6119814081597517E-2</v>
      </c>
      <c r="E140" s="5">
        <v>5.3098786546135673E-2</v>
      </c>
      <c r="F140" s="5">
        <v>0.13143398175245308</v>
      </c>
      <c r="G140" s="5">
        <v>0.42698100851342502</v>
      </c>
      <c r="H140" s="10">
        <v>5.6891007156479462E-3</v>
      </c>
      <c r="I140" s="5">
        <v>1.0923786442033929</v>
      </c>
      <c r="J140" s="5">
        <v>2.1483371215345819E-2</v>
      </c>
      <c r="K140" s="11">
        <v>0.14699999999999999</v>
      </c>
      <c r="L140" s="11">
        <v>0.1482</v>
      </c>
      <c r="M140" s="11">
        <v>-8.5985627409999932E-2</v>
      </c>
      <c r="N140" s="5">
        <v>1.2000000000000066E-3</v>
      </c>
      <c r="O140" s="5">
        <v>1.4300000000000007E-2</v>
      </c>
      <c r="P140" s="5">
        <v>-2.9296822500000097E-3</v>
      </c>
      <c r="Q140" s="5">
        <v>2.8697571743929506E-2</v>
      </c>
      <c r="R140" s="10">
        <v>3.8667123887999998E-2</v>
      </c>
      <c r="S140" s="5">
        <v>-0.10256280538650897</v>
      </c>
      <c r="T140" s="5">
        <v>3.6825000000000004E-2</v>
      </c>
    </row>
    <row r="141" spans="1:20" x14ac:dyDescent="0.3">
      <c r="A141" s="3">
        <v>19814</v>
      </c>
      <c r="B141" s="4">
        <f t="shared" si="4"/>
        <v>3.0173534863804988E-2</v>
      </c>
      <c r="C141" s="4">
        <f t="shared" si="5"/>
        <v>3.1759145577562826E-2</v>
      </c>
      <c r="D141" s="5">
        <v>5.4100367197062425E-2</v>
      </c>
      <c r="E141" s="5">
        <v>5.2473288484368816E-2</v>
      </c>
      <c r="F141" s="5">
        <v>0.12533659730722155</v>
      </c>
      <c r="G141" s="5">
        <v>0.431640625</v>
      </c>
      <c r="H141" s="10">
        <v>4.4880524817385928E-3</v>
      </c>
      <c r="I141" s="5">
        <v>1.0611428571428572</v>
      </c>
      <c r="J141" s="5">
        <v>1.1909648482442949E-2</v>
      </c>
      <c r="K141" s="11">
        <v>0.1085</v>
      </c>
      <c r="L141" s="11">
        <v>0.13339999999999999</v>
      </c>
      <c r="M141" s="11">
        <v>0.14749141142999989</v>
      </c>
      <c r="N141" s="5">
        <v>2.4899999999999992E-2</v>
      </c>
      <c r="O141" s="5">
        <v>2.3199999999999998E-2</v>
      </c>
      <c r="P141" s="5">
        <v>-3.0843603489999705E-2</v>
      </c>
      <c r="Q141" s="5">
        <v>8.5836909871244149E-3</v>
      </c>
      <c r="R141" s="10">
        <v>3.9033796308000003E-2</v>
      </c>
      <c r="S141" s="5">
        <v>6.8509145577562824E-2</v>
      </c>
      <c r="T141" s="5">
        <v>3.6749999999999998E-2</v>
      </c>
    </row>
    <row r="142" spans="1:20" x14ac:dyDescent="0.3">
      <c r="A142" s="3">
        <v>19821</v>
      </c>
      <c r="B142" s="4">
        <f t="shared" si="4"/>
        <v>-0.10083580562672445</v>
      </c>
      <c r="C142" s="4">
        <f t="shared" si="5"/>
        <v>-9.8520324451193783E-2</v>
      </c>
      <c r="D142" s="5">
        <v>6.0021436227224008E-2</v>
      </c>
      <c r="E142" s="5">
        <v>5.941119264432853E-2</v>
      </c>
      <c r="F142" s="5">
        <v>0.1322793854948196</v>
      </c>
      <c r="G142" s="5">
        <v>0.45374746792707626</v>
      </c>
      <c r="H142" s="10">
        <v>6.2353905151746316E-3</v>
      </c>
      <c r="I142" s="5">
        <v>1.1857505742795678</v>
      </c>
      <c r="J142" s="5">
        <v>5.5484290189296371E-3</v>
      </c>
      <c r="K142" s="11">
        <v>0.1268</v>
      </c>
      <c r="L142" s="11">
        <v>0.13869999999999999</v>
      </c>
      <c r="M142" s="11">
        <v>4.6512333931999716E-2</v>
      </c>
      <c r="N142" s="5">
        <v>1.1899999999999994E-2</v>
      </c>
      <c r="O142" s="5">
        <v>2.2400000000000003E-2</v>
      </c>
      <c r="P142" s="5">
        <v>2.5328501799999348E-3</v>
      </c>
      <c r="Q142" s="5">
        <v>5.3191489361701372E-3</v>
      </c>
      <c r="R142" s="10">
        <v>3.7690234452000003E-2</v>
      </c>
      <c r="S142" s="5">
        <v>-7.1395324451193787E-2</v>
      </c>
      <c r="T142" s="5">
        <v>2.7125E-2</v>
      </c>
    </row>
    <row r="143" spans="1:20" x14ac:dyDescent="0.3">
      <c r="A143" s="3">
        <v>19822</v>
      </c>
      <c r="B143" s="4">
        <f t="shared" si="4"/>
        <v>-3.635178089755596E-2</v>
      </c>
      <c r="C143" s="4">
        <f t="shared" si="5"/>
        <v>-3.6830646812137817E-2</v>
      </c>
      <c r="D143" s="5">
        <v>6.2129367758416203E-2</v>
      </c>
      <c r="E143" s="5">
        <v>6.0868787987129067E-2</v>
      </c>
      <c r="F143" s="5">
        <v>0.12927652586442842</v>
      </c>
      <c r="G143" s="5">
        <v>0.4805928016937191</v>
      </c>
      <c r="H143" s="10">
        <v>3.5919286793009782E-3</v>
      </c>
      <c r="I143" s="5">
        <v>1.2015814171172392</v>
      </c>
      <c r="J143" s="5">
        <v>1.2130358734572407E-3</v>
      </c>
      <c r="K143" s="11">
        <v>0.12470000000000001</v>
      </c>
      <c r="L143" s="11">
        <v>0.14119999999999999</v>
      </c>
      <c r="M143" s="11">
        <v>1.7616381914000057E-2</v>
      </c>
      <c r="N143" s="5">
        <v>1.6499999999999987E-2</v>
      </c>
      <c r="O143" s="5">
        <v>2.1100000000000008E-2</v>
      </c>
      <c r="P143" s="5">
        <v>-8.0554769939997772E-3</v>
      </c>
      <c r="Q143" s="5">
        <v>2.6455026455026509E-2</v>
      </c>
      <c r="R143" s="10">
        <v>3.6057671123999997E-2</v>
      </c>
      <c r="S143" s="5">
        <v>-5.1306468121378179E-3</v>
      </c>
      <c r="T143" s="5">
        <v>3.1699999999999999E-2</v>
      </c>
    </row>
    <row r="144" spans="1:20" x14ac:dyDescent="0.3">
      <c r="A144" s="3">
        <v>19823</v>
      </c>
      <c r="B144" s="4">
        <f t="shared" si="4"/>
        <v>7.9252452163308271E-2</v>
      </c>
      <c r="C144" s="4">
        <f t="shared" si="5"/>
        <v>8.5048799357093141E-2</v>
      </c>
      <c r="D144" s="5">
        <v>5.6884238498588272E-2</v>
      </c>
      <c r="E144" s="5">
        <v>5.7317379298803442E-2</v>
      </c>
      <c r="F144" s="5">
        <v>0.11260587942202292</v>
      </c>
      <c r="G144" s="5">
        <v>0.50516224188790559</v>
      </c>
      <c r="H144" s="10">
        <v>9.5058105279984522E-3</v>
      </c>
      <c r="I144" s="5">
        <v>1.0885355648535564</v>
      </c>
      <c r="J144" s="5">
        <v>5.5070779058758108E-4</v>
      </c>
      <c r="K144" s="11">
        <v>7.9199999999999993E-2</v>
      </c>
      <c r="L144" s="11">
        <v>0.1183</v>
      </c>
      <c r="M144" s="11">
        <v>0.20207738165800038</v>
      </c>
      <c r="N144" s="5">
        <v>3.910000000000001E-2</v>
      </c>
      <c r="O144" s="5">
        <v>2.6900000000000007E-2</v>
      </c>
      <c r="P144" s="5">
        <v>1.1302711881999494E-2</v>
      </c>
      <c r="Q144" s="5">
        <v>9.2783505154638846E-3</v>
      </c>
      <c r="R144" s="10">
        <v>3.4637459278999999E-2</v>
      </c>
      <c r="S144" s="5">
        <v>0.11622379935709315</v>
      </c>
      <c r="T144" s="5">
        <v>3.1175000000000001E-2</v>
      </c>
    </row>
    <row r="145" spans="1:20" x14ac:dyDescent="0.3">
      <c r="A145" s="3">
        <v>19824</v>
      </c>
      <c r="B145" s="4">
        <f t="shared" si="4"/>
        <v>0.14966064240684676</v>
      </c>
      <c r="C145" s="4">
        <f t="shared" si="5"/>
        <v>0.16463654498946317</v>
      </c>
      <c r="D145" s="5">
        <v>4.8848122866894203E-2</v>
      </c>
      <c r="E145" s="5">
        <v>4.958856647899524E-2</v>
      </c>
      <c r="F145" s="5">
        <v>8.9874857792946544E-2</v>
      </c>
      <c r="G145" s="5">
        <v>0.54351265822784811</v>
      </c>
      <c r="H145" s="10">
        <v>1.4107795769334845E-2</v>
      </c>
      <c r="I145" s="5">
        <v>0.93221472662296712</v>
      </c>
      <c r="J145" s="5">
        <v>2.990051314931505E-3</v>
      </c>
      <c r="K145" s="11">
        <v>7.9399999999999998E-2</v>
      </c>
      <c r="L145" s="11">
        <v>0.1095</v>
      </c>
      <c r="M145" s="11">
        <v>9.6358764383999818E-2</v>
      </c>
      <c r="N145" s="5">
        <v>3.0100000000000002E-2</v>
      </c>
      <c r="O145" s="5">
        <v>2.3099999999999996E-2</v>
      </c>
      <c r="P145" s="5">
        <v>1.3020101988000077E-2</v>
      </c>
      <c r="Q145" s="5">
        <v>-3.0643513789582189E-3</v>
      </c>
      <c r="R145" s="10">
        <v>3.3715432504999997E-2</v>
      </c>
      <c r="S145" s="5">
        <v>0.18443654498946316</v>
      </c>
      <c r="T145" s="5">
        <v>1.9799999999999998E-2</v>
      </c>
    </row>
    <row r="146" spans="1:20" x14ac:dyDescent="0.3">
      <c r="A146" s="3">
        <v>19831</v>
      </c>
      <c r="B146" s="4">
        <f t="shared" si="4"/>
        <v>7.5291829669611399E-2</v>
      </c>
      <c r="C146" s="4">
        <f t="shared" si="5"/>
        <v>7.9751000657456578E-2</v>
      </c>
      <c r="D146" s="5">
        <v>4.5175209205020918E-2</v>
      </c>
      <c r="E146" s="5">
        <v>4.6670268809941913E-2</v>
      </c>
      <c r="F146" s="5">
        <v>8.1197698744769869E-2</v>
      </c>
      <c r="G146" s="5">
        <v>0.55636070853462161</v>
      </c>
      <c r="H146" s="10">
        <v>6.7643200527725562E-3</v>
      </c>
      <c r="I146" s="5">
        <v>0.78006778581099623</v>
      </c>
      <c r="J146" s="5">
        <v>5.9935391051682621E-3</v>
      </c>
      <c r="K146" s="11">
        <v>8.3499999999999991E-2</v>
      </c>
      <c r="L146" s="11">
        <v>0.10829999999999999</v>
      </c>
      <c r="M146" s="11">
        <v>7.2219906319999083E-3</v>
      </c>
      <c r="N146" s="5">
        <v>2.4800000000000003E-2</v>
      </c>
      <c r="O146" s="5">
        <v>1.8799999999999997E-2</v>
      </c>
      <c r="P146" s="5">
        <v>3.3213272664000204E-2</v>
      </c>
      <c r="Q146" s="5">
        <v>3.0737704918033515E-3</v>
      </c>
      <c r="R146" s="10">
        <v>3.2924243626999999E-2</v>
      </c>
      <c r="S146" s="5">
        <v>9.9601000657456584E-2</v>
      </c>
      <c r="T146" s="5">
        <v>1.985E-2</v>
      </c>
    </row>
    <row r="147" spans="1:20" x14ac:dyDescent="0.3">
      <c r="A147" s="3">
        <v>19832</v>
      </c>
      <c r="B147" s="4">
        <f t="shared" si="4"/>
        <v>8.2928939188206541E-2</v>
      </c>
      <c r="C147" s="4">
        <f t="shared" si="5"/>
        <v>8.8269549289157617E-2</v>
      </c>
      <c r="D147" s="5">
        <v>4.1282493605377432E-2</v>
      </c>
      <c r="E147" s="5">
        <v>4.2736621713159686E-2</v>
      </c>
      <c r="F147" s="5">
        <v>7.4891440128487294E-2</v>
      </c>
      <c r="G147" s="5">
        <v>0.55123113582208105</v>
      </c>
      <c r="H147" s="10">
        <v>3.907513076318518E-3</v>
      </c>
      <c r="I147" s="5">
        <v>0.72138204196536715</v>
      </c>
      <c r="J147" s="5">
        <v>1.582655469500989E-2</v>
      </c>
      <c r="K147" s="11">
        <v>8.7899999999999992E-2</v>
      </c>
      <c r="L147" s="11">
        <v>0.1119</v>
      </c>
      <c r="M147" s="11">
        <v>-1.0703089000000388E-3</v>
      </c>
      <c r="N147" s="5">
        <v>2.4000000000000007E-2</v>
      </c>
      <c r="O147" s="5">
        <v>1.6299999999999981E-2</v>
      </c>
      <c r="P147" s="5">
        <v>1.6999916291999928E-2</v>
      </c>
      <c r="Q147" s="5">
        <v>1.6343207354443168E-2</v>
      </c>
      <c r="R147" s="10">
        <v>3.3119455685999999E-2</v>
      </c>
      <c r="S147" s="5">
        <v>0.10914454928915762</v>
      </c>
      <c r="T147" s="5">
        <v>2.0874999999999998E-2</v>
      </c>
    </row>
    <row r="148" spans="1:20" x14ac:dyDescent="0.3">
      <c r="A148" s="3">
        <v>19833</v>
      </c>
      <c r="B148" s="4">
        <f t="shared" si="4"/>
        <v>-2.3727408904668387E-2</v>
      </c>
      <c r="C148" s="4">
        <f t="shared" si="5"/>
        <v>-2.396339977060916E-2</v>
      </c>
      <c r="D148" s="5">
        <v>4.2150900222797619E-2</v>
      </c>
      <c r="E148" s="5">
        <v>4.2579075425790751E-2</v>
      </c>
      <c r="F148" s="5">
        <v>8.0086710423315471E-2</v>
      </c>
      <c r="G148" s="5">
        <v>0.52631578947368418</v>
      </c>
      <c r="H148" s="10">
        <v>4.7191629782426005E-3</v>
      </c>
      <c r="I148" s="5">
        <v>0.71484758297989659</v>
      </c>
      <c r="J148" s="5">
        <v>2.317839540459575E-2</v>
      </c>
      <c r="K148" s="11">
        <v>0.09</v>
      </c>
      <c r="L148" s="11">
        <v>0.1157</v>
      </c>
      <c r="M148" s="11">
        <v>1.4445914000000837E-3</v>
      </c>
      <c r="N148" s="5">
        <v>2.5700000000000001E-2</v>
      </c>
      <c r="O148" s="5">
        <v>1.1800000000000019E-2</v>
      </c>
      <c r="P148" s="5">
        <v>-4.4694177600000939E-3</v>
      </c>
      <c r="Q148" s="5">
        <v>1.2060301507537785E-2</v>
      </c>
      <c r="R148" s="10">
        <v>3.4235858849000003E-2</v>
      </c>
      <c r="S148" s="5">
        <v>-1.9883997706091616E-3</v>
      </c>
      <c r="T148" s="5">
        <v>2.1974999999999998E-2</v>
      </c>
    </row>
    <row r="149" spans="1:20" x14ac:dyDescent="0.3">
      <c r="A149" s="3">
        <v>19834</v>
      </c>
      <c r="B149" s="4">
        <f t="shared" si="4"/>
        <v>-1.7644741392031069E-2</v>
      </c>
      <c r="C149" s="4">
        <f t="shared" si="5"/>
        <v>-1.7883509145707278E-2</v>
      </c>
      <c r="D149" s="5">
        <v>4.2987934275147029E-2</v>
      </c>
      <c r="E149" s="5">
        <v>4.2608173076923071E-2</v>
      </c>
      <c r="F149" s="5">
        <v>8.5066391802582908E-2</v>
      </c>
      <c r="G149" s="5">
        <v>0.50534568781183176</v>
      </c>
      <c r="H149" s="10">
        <v>2.4797729766714302E-3</v>
      </c>
      <c r="I149" s="5">
        <v>0.70035911777791893</v>
      </c>
      <c r="J149" s="5">
        <v>2.7056895354317316E-2</v>
      </c>
      <c r="K149" s="11">
        <v>0.09</v>
      </c>
      <c r="L149" s="11">
        <v>0.1197</v>
      </c>
      <c r="M149" s="11">
        <v>-1.0702247960000522E-3</v>
      </c>
      <c r="N149" s="5">
        <v>2.9700000000000004E-2</v>
      </c>
      <c r="O149" s="5">
        <v>1.1800000000000005E-2</v>
      </c>
      <c r="P149" s="5">
        <v>9.3962319460000332E-3</v>
      </c>
      <c r="Q149" s="5">
        <v>5.9582919563057057E-3</v>
      </c>
      <c r="R149" s="10">
        <v>3.5973614700000003E-2</v>
      </c>
      <c r="S149" s="5">
        <v>4.6164908542927208E-3</v>
      </c>
      <c r="T149" s="5">
        <v>2.2499999999999999E-2</v>
      </c>
    </row>
    <row r="150" spans="1:20" x14ac:dyDescent="0.3">
      <c r="A150" s="3">
        <v>19841</v>
      </c>
      <c r="B150" s="4">
        <f t="shared" si="4"/>
        <v>-4.3635724179235461E-2</v>
      </c>
      <c r="C150" s="4">
        <f t="shared" si="5"/>
        <v>-4.3658074974918949E-2</v>
      </c>
      <c r="D150" s="5">
        <v>4.5106169116723202E-2</v>
      </c>
      <c r="E150" s="5">
        <v>4.5715013370686362E-2</v>
      </c>
      <c r="F150" s="5">
        <v>9.5866314863676333E-2</v>
      </c>
      <c r="G150" s="5">
        <v>0.47051114023591084</v>
      </c>
      <c r="H150" s="10">
        <v>4.1686701492220316E-3</v>
      </c>
      <c r="I150" s="5">
        <v>0.76247542686433911</v>
      </c>
      <c r="J150" s="5">
        <v>2.4104938638959267E-2</v>
      </c>
      <c r="K150" s="11">
        <v>9.5199999999999993E-2</v>
      </c>
      <c r="L150" s="11">
        <v>0.12529999999999999</v>
      </c>
      <c r="M150" s="11">
        <v>-9.5305046080000899E-3</v>
      </c>
      <c r="N150" s="5">
        <v>3.0100000000000002E-2</v>
      </c>
      <c r="O150" s="5">
        <v>1.419999999999999E-2</v>
      </c>
      <c r="P150" s="5">
        <v>-4.8532819919998582E-3</v>
      </c>
      <c r="Q150" s="5">
        <v>1.2833168805528095E-2</v>
      </c>
      <c r="R150" s="10">
        <v>3.6714665659000001E-2</v>
      </c>
      <c r="S150" s="5">
        <v>-2.115807497491895E-2</v>
      </c>
      <c r="T150" s="5">
        <v>2.2499999999999999E-2</v>
      </c>
    </row>
    <row r="151" spans="1:20" x14ac:dyDescent="0.3">
      <c r="A151" s="3">
        <v>19842</v>
      </c>
      <c r="B151" s="4">
        <f t="shared" si="4"/>
        <v>-4.8679708055733129E-2</v>
      </c>
      <c r="C151" s="4">
        <f t="shared" si="5"/>
        <v>-4.8644675033430465E-2</v>
      </c>
      <c r="D151" s="5">
        <v>4.7721634678156412E-2</v>
      </c>
      <c r="E151" s="5">
        <v>4.8555297243440709E-2</v>
      </c>
      <c r="F151" s="5">
        <v>0.10575793184488835</v>
      </c>
      <c r="G151" s="5">
        <v>0.45123456790123456</v>
      </c>
      <c r="H151" s="10">
        <v>3.6443410985646484E-3</v>
      </c>
      <c r="I151" s="5">
        <v>0.78435181914517837</v>
      </c>
      <c r="J151" s="5">
        <v>1.3040592483577263E-3</v>
      </c>
      <c r="K151" s="11">
        <v>9.8699999999999996E-2</v>
      </c>
      <c r="L151" s="11">
        <v>0.13739999999999999</v>
      </c>
      <c r="M151" s="11">
        <v>-4.7481572999999999E-2</v>
      </c>
      <c r="N151" s="5">
        <v>3.8699999999999998E-2</v>
      </c>
      <c r="O151" s="5">
        <v>1.4999999999999986E-2</v>
      </c>
      <c r="P151" s="5">
        <v>1.1034739540999983E-2</v>
      </c>
      <c r="Q151" s="5">
        <v>1.0721247563352909E-2</v>
      </c>
      <c r="R151" s="10">
        <v>3.7980930847000001E-2</v>
      </c>
      <c r="S151" s="5">
        <v>-2.4844675033430463E-2</v>
      </c>
      <c r="T151" s="5">
        <v>2.3799999999999998E-2</v>
      </c>
    </row>
    <row r="152" spans="1:20" x14ac:dyDescent="0.3">
      <c r="A152" s="3">
        <v>19843</v>
      </c>
      <c r="B152" s="4">
        <f t="shared" si="4"/>
        <v>6.8253895915597274E-2</v>
      </c>
      <c r="C152" s="4">
        <f t="shared" si="5"/>
        <v>7.2380074911380543E-2</v>
      </c>
      <c r="D152" s="5">
        <v>4.4431065623118604E-2</v>
      </c>
      <c r="E152" s="5">
        <v>4.4276457883369327E-2</v>
      </c>
      <c r="F152" s="5">
        <v>9.969897652016857E-2</v>
      </c>
      <c r="G152" s="5">
        <v>0.44565217391304351</v>
      </c>
      <c r="H152" s="10">
        <v>4.9357170102543946E-3</v>
      </c>
      <c r="I152" s="5">
        <v>0.73605091529862188</v>
      </c>
      <c r="J152" s="5">
        <v>-9.4925469520563948E-3</v>
      </c>
      <c r="K152" s="11">
        <v>0.10369999999999999</v>
      </c>
      <c r="L152" s="11">
        <v>0.1235</v>
      </c>
      <c r="M152" s="11">
        <v>0.13528620359599985</v>
      </c>
      <c r="N152" s="5">
        <v>1.9800000000000012E-2</v>
      </c>
      <c r="O152" s="5">
        <v>1.6899999999999998E-2</v>
      </c>
      <c r="P152" s="5">
        <v>-9.926674367999766E-3</v>
      </c>
      <c r="Q152" s="5">
        <v>1.2536162005786E-2</v>
      </c>
      <c r="R152" s="10">
        <v>3.8644519354999997E-2</v>
      </c>
      <c r="S152" s="5">
        <v>9.7055074911380546E-2</v>
      </c>
      <c r="T152" s="5">
        <v>2.4674999999999999E-2</v>
      </c>
    </row>
    <row r="153" spans="1:20" x14ac:dyDescent="0.3">
      <c r="A153" s="3">
        <v>19844</v>
      </c>
      <c r="B153" s="4">
        <f t="shared" si="4"/>
        <v>-6.9240182936784779E-3</v>
      </c>
      <c r="C153" s="4">
        <f t="shared" si="5"/>
        <v>-7.0789876661612391E-3</v>
      </c>
      <c r="D153" s="5">
        <v>4.5025113609184403E-2</v>
      </c>
      <c r="E153" s="5">
        <v>4.6032522313241224E-2</v>
      </c>
      <c r="F153" s="5">
        <v>9.9497727816311887E-2</v>
      </c>
      <c r="G153" s="5">
        <v>0.45252403846153844</v>
      </c>
      <c r="H153" s="10">
        <v>3.5022432294735343E-3</v>
      </c>
      <c r="I153" s="5">
        <v>0.73309837648670739</v>
      </c>
      <c r="J153" s="5">
        <v>-2.7196788219124485E-2</v>
      </c>
      <c r="K153" s="11">
        <v>8.0600000000000005E-2</v>
      </c>
      <c r="L153" s="11">
        <v>0.11700000000000001</v>
      </c>
      <c r="M153" s="11">
        <v>7.8285894018000235E-2</v>
      </c>
      <c r="N153" s="5">
        <v>3.6400000000000002E-2</v>
      </c>
      <c r="O153" s="5">
        <v>1.2700000000000003E-2</v>
      </c>
      <c r="P153" s="5">
        <v>1.5145787773999775E-2</v>
      </c>
      <c r="Q153" s="5">
        <v>2.8571428571428914E-3</v>
      </c>
      <c r="R153" s="10">
        <v>3.9021658256999998E-2</v>
      </c>
      <c r="S153" s="5">
        <v>1.8846012333838758E-2</v>
      </c>
      <c r="T153" s="5">
        <v>2.5924999999999997E-2</v>
      </c>
    </row>
    <row r="154" spans="1:20" x14ac:dyDescent="0.3">
      <c r="A154" s="3">
        <v>19851</v>
      </c>
      <c r="B154" s="4">
        <f t="shared" si="4"/>
        <v>6.7537550204393851E-2</v>
      </c>
      <c r="C154" s="4">
        <f t="shared" si="5"/>
        <v>7.1278321915911991E-2</v>
      </c>
      <c r="D154" s="5">
        <v>4.2400088564153664E-2</v>
      </c>
      <c r="E154" s="5">
        <v>4.2276063800430488E-2</v>
      </c>
      <c r="F154" s="5">
        <v>9.0722904904240009E-2</v>
      </c>
      <c r="G154" s="5">
        <v>0.46735814521049418</v>
      </c>
      <c r="H154" s="10">
        <v>3.1834025157959048E-3</v>
      </c>
      <c r="I154" s="5">
        <v>0.72364577906187344</v>
      </c>
      <c r="J154" s="5">
        <v>-2.4815771189380723E-2</v>
      </c>
      <c r="K154" s="11">
        <v>8.5199999999999998E-2</v>
      </c>
      <c r="L154" s="11">
        <v>0.1181</v>
      </c>
      <c r="M154" s="11">
        <v>1.5554358235999821E-2</v>
      </c>
      <c r="N154" s="5">
        <v>3.2899999999999999E-2</v>
      </c>
      <c r="O154" s="5">
        <v>1.1299999999999977E-2</v>
      </c>
      <c r="P154" s="5">
        <v>-3.7742275109997614E-3</v>
      </c>
      <c r="Q154" s="5">
        <v>1.0446343779677125E-2</v>
      </c>
      <c r="R154" s="10">
        <v>3.8913174852999999E-2</v>
      </c>
      <c r="S154" s="5">
        <v>9.1428321915911992E-2</v>
      </c>
      <c r="T154" s="5">
        <v>2.0150000000000001E-2</v>
      </c>
    </row>
    <row r="155" spans="1:20" x14ac:dyDescent="0.3">
      <c r="A155" s="3">
        <v>19852</v>
      </c>
      <c r="B155" s="4">
        <f t="shared" si="4"/>
        <v>5.2000599753374198E-2</v>
      </c>
      <c r="C155" s="4">
        <f t="shared" si="5"/>
        <v>5.4513291051357368E-2</v>
      </c>
      <c r="D155" s="5">
        <v>4.0344018764659893E-2</v>
      </c>
      <c r="E155" s="5">
        <v>4.0833553152202585E-2</v>
      </c>
      <c r="F155" s="5">
        <v>8.1365650247589266E-2</v>
      </c>
      <c r="G155" s="5">
        <v>0.49583600256246002</v>
      </c>
      <c r="H155" s="10">
        <v>2.0352607560599053E-3</v>
      </c>
      <c r="I155" s="5">
        <v>0.68643014392044688</v>
      </c>
      <c r="J155" s="5">
        <v>-2.6607512615798606E-2</v>
      </c>
      <c r="K155" s="11">
        <v>6.9500000000000006E-2</v>
      </c>
      <c r="L155" s="11">
        <v>0.1055</v>
      </c>
      <c r="M155" s="11">
        <v>0.13181507014399996</v>
      </c>
      <c r="N155" s="5">
        <v>3.599999999999999E-2</v>
      </c>
      <c r="O155" s="5">
        <v>1.4600000000000002E-2</v>
      </c>
      <c r="P155" s="5">
        <v>-8.5414443839997301E-3</v>
      </c>
      <c r="Q155" s="5">
        <v>1.1278195488721776E-2</v>
      </c>
      <c r="R155" s="10">
        <v>3.8928941850000003E-2</v>
      </c>
      <c r="S155" s="5">
        <v>7.5813291051357368E-2</v>
      </c>
      <c r="T155" s="5">
        <v>2.1299999999999999E-2</v>
      </c>
    </row>
    <row r="156" spans="1:20" x14ac:dyDescent="0.3">
      <c r="A156" s="3">
        <v>19853</v>
      </c>
      <c r="B156" s="4">
        <f t="shared" si="4"/>
        <v>-6.0859627846235179E-2</v>
      </c>
      <c r="C156" s="4">
        <f t="shared" si="5"/>
        <v>-6.0070586981703505E-2</v>
      </c>
      <c r="D156" s="5">
        <v>4.3057996485061506E-2</v>
      </c>
      <c r="E156" s="5">
        <v>4.1562847903302759E-2</v>
      </c>
      <c r="F156" s="5">
        <v>8.3644551845342696E-2</v>
      </c>
      <c r="G156" s="5">
        <v>0.51477347340774782</v>
      </c>
      <c r="H156" s="10">
        <v>2.2141682525153505E-3</v>
      </c>
      <c r="I156" s="5">
        <v>0.68995882977202083</v>
      </c>
      <c r="J156" s="5">
        <v>-3.1294354774893188E-2</v>
      </c>
      <c r="K156" s="11">
        <v>7.0999999999999994E-2</v>
      </c>
      <c r="L156" s="11">
        <v>0.1082</v>
      </c>
      <c r="M156" s="11">
        <v>5.3181890200000304E-3</v>
      </c>
      <c r="N156" s="5">
        <v>3.7200000000000011E-2</v>
      </c>
      <c r="O156" s="5">
        <v>1.4100000000000001E-2</v>
      </c>
      <c r="P156" s="5">
        <v>1.5463667320000152E-2</v>
      </c>
      <c r="Q156" s="5">
        <v>6.5055762081784874E-3</v>
      </c>
      <c r="R156" s="10">
        <v>3.7957350062000003E-2</v>
      </c>
      <c r="S156" s="5">
        <v>-4.2695586981703504E-2</v>
      </c>
      <c r="T156" s="5">
        <v>1.7375000000000002E-2</v>
      </c>
    </row>
    <row r="157" spans="1:20" x14ac:dyDescent="0.3">
      <c r="A157" s="3">
        <v>19854</v>
      </c>
      <c r="B157" s="4">
        <f t="shared" si="4"/>
        <v>0.14295124867221592</v>
      </c>
      <c r="C157" s="4">
        <f t="shared" si="5"/>
        <v>0.15640126281717975</v>
      </c>
      <c r="D157" s="5">
        <v>3.739113971980311E-2</v>
      </c>
      <c r="E157" s="5">
        <v>3.9076025127368061E-2</v>
      </c>
      <c r="F157" s="5">
        <v>6.9149943203332065E-2</v>
      </c>
      <c r="G157" s="5">
        <v>0.54072553045859006</v>
      </c>
      <c r="H157" s="10">
        <v>3.0849079270515935E-3</v>
      </c>
      <c r="I157" s="5">
        <v>0.59269268816231002</v>
      </c>
      <c r="J157" s="5">
        <v>-1.9465079205520434E-2</v>
      </c>
      <c r="K157" s="11">
        <v>7.0999999999999994E-2</v>
      </c>
      <c r="L157" s="11">
        <v>9.5600000000000004E-2</v>
      </c>
      <c r="M157" s="11">
        <v>0.13342669605799995</v>
      </c>
      <c r="N157" s="5">
        <v>2.4600000000000011E-2</v>
      </c>
      <c r="O157" s="5">
        <v>1.4200000000000004E-2</v>
      </c>
      <c r="P157" s="5">
        <v>-1.2073994688000189E-2</v>
      </c>
      <c r="Q157" s="5">
        <v>9.2336103416434945E-3</v>
      </c>
      <c r="R157" s="10">
        <v>3.8149958126999998E-2</v>
      </c>
      <c r="S157" s="5">
        <v>0.17415126281717974</v>
      </c>
      <c r="T157" s="5">
        <v>1.7749999999999998E-2</v>
      </c>
    </row>
    <row r="158" spans="1:20" x14ac:dyDescent="0.3">
      <c r="A158" s="3">
        <v>19861</v>
      </c>
      <c r="B158" s="4">
        <f t="shared" si="4"/>
        <v>0.11516799567976437</v>
      </c>
      <c r="C158" s="4">
        <f t="shared" si="5"/>
        <v>0.12422852243312292</v>
      </c>
      <c r="D158" s="5">
        <v>3.3570531603181242E-2</v>
      </c>
      <c r="E158" s="5">
        <v>3.5342852106469237E-2</v>
      </c>
      <c r="F158" s="5">
        <v>6.0778568438677266E-2</v>
      </c>
      <c r="G158" s="5">
        <v>0.55234159779614322</v>
      </c>
      <c r="H158" s="10">
        <v>4.3831830015728657E-3</v>
      </c>
      <c r="I158" s="5">
        <v>0.51962762769367821</v>
      </c>
      <c r="J158" s="5">
        <v>-1.64196183723706E-2</v>
      </c>
      <c r="K158" s="11">
        <v>6.5599999999999992E-2</v>
      </c>
      <c r="L158" s="11">
        <v>7.6600000000000001E-2</v>
      </c>
      <c r="M158" s="11">
        <v>0.19731570874999993</v>
      </c>
      <c r="N158" s="5">
        <v>1.100000000000001E-2</v>
      </c>
      <c r="O158" s="5">
        <v>1.4999999999999999E-2</v>
      </c>
      <c r="P158" s="5">
        <v>-8.9628325710000123E-2</v>
      </c>
      <c r="Q158" s="5">
        <v>-4.5745654162854255E-3</v>
      </c>
      <c r="R158" s="10">
        <v>3.7281760483999997E-2</v>
      </c>
      <c r="S158" s="5">
        <v>0.14197852243312292</v>
      </c>
      <c r="T158" s="5">
        <v>1.7749999999999998E-2</v>
      </c>
    </row>
    <row r="159" spans="1:20" x14ac:dyDescent="0.3">
      <c r="A159" s="3">
        <v>19862</v>
      </c>
      <c r="B159" s="4">
        <f t="shared" si="4"/>
        <v>3.9766215066830111E-2</v>
      </c>
      <c r="C159" s="4">
        <f t="shared" si="5"/>
        <v>4.1232783374642618E-2</v>
      </c>
      <c r="D159" s="5">
        <v>3.22915005581247E-2</v>
      </c>
      <c r="E159" s="5">
        <v>3.274711946634324E-2</v>
      </c>
      <c r="F159" s="5">
        <v>5.8642959655557332E-2</v>
      </c>
      <c r="G159" s="5">
        <v>0.55064581917063216</v>
      </c>
      <c r="H159" s="10">
        <v>5.4253953150564579E-3</v>
      </c>
      <c r="I159" s="5">
        <v>0.49928145737351537</v>
      </c>
      <c r="J159" s="5">
        <v>-1.2293238469675633E-2</v>
      </c>
      <c r="K159" s="11">
        <v>6.2100000000000002E-2</v>
      </c>
      <c r="L159" s="11">
        <v>7.9000000000000001E-2</v>
      </c>
      <c r="M159" s="11">
        <v>-3.5728480000007945E-4</v>
      </c>
      <c r="N159" s="5">
        <v>1.6899999999999998E-2</v>
      </c>
      <c r="O159" s="5">
        <v>1.2099999999999986E-2</v>
      </c>
      <c r="P159" s="5">
        <v>7.0078327680002106E-3</v>
      </c>
      <c r="Q159" s="5">
        <v>6.4338235294116863E-3</v>
      </c>
      <c r="R159" s="10">
        <v>3.6082707286999999E-2</v>
      </c>
      <c r="S159" s="5">
        <v>5.7632783374642615E-2</v>
      </c>
      <c r="T159" s="5">
        <v>1.6399999999999998E-2</v>
      </c>
    </row>
    <row r="160" spans="1:20" x14ac:dyDescent="0.3">
      <c r="A160" s="3">
        <v>19863</v>
      </c>
      <c r="B160" s="4">
        <f t="shared" si="4"/>
        <v>-8.9803229586136124E-2</v>
      </c>
      <c r="C160" s="4">
        <f t="shared" si="5"/>
        <v>-8.7222388558499828E-2</v>
      </c>
      <c r="D160" s="5">
        <v>3.5578419505447004E-2</v>
      </c>
      <c r="E160" s="5">
        <v>3.2538647056497845E-2</v>
      </c>
      <c r="F160" s="5">
        <v>6.4196783676292585E-2</v>
      </c>
      <c r="G160" s="5">
        <v>0.55420875420875426</v>
      </c>
      <c r="H160" s="10">
        <v>7.8837919045890228E-3</v>
      </c>
      <c r="I160" s="5">
        <v>0.53462926713359515</v>
      </c>
      <c r="J160" s="5">
        <v>-5.1386582204012397E-3</v>
      </c>
      <c r="K160" s="11">
        <v>5.21E-2</v>
      </c>
      <c r="L160" s="11">
        <v>8.2699999999999996E-2</v>
      </c>
      <c r="M160" s="11">
        <v>-1.3366973999999976E-2</v>
      </c>
      <c r="N160" s="5">
        <v>3.0599999999999995E-2</v>
      </c>
      <c r="O160" s="5">
        <v>1.3099999999999987E-2</v>
      </c>
      <c r="P160" s="5">
        <v>3.2302412150000182E-2</v>
      </c>
      <c r="Q160" s="5">
        <v>6.3926940639269514E-3</v>
      </c>
      <c r="R160" s="10">
        <v>3.5277226868E-2</v>
      </c>
      <c r="S160" s="5">
        <v>-7.1697388558499831E-2</v>
      </c>
      <c r="T160" s="5">
        <v>1.5525000000000001E-2</v>
      </c>
    </row>
    <row r="161" spans="1:20" x14ac:dyDescent="0.3">
      <c r="A161" s="3">
        <v>19864</v>
      </c>
      <c r="B161" s="4">
        <f t="shared" si="4"/>
        <v>3.8729679586953683E-2</v>
      </c>
      <c r="C161" s="4">
        <f t="shared" si="5"/>
        <v>4.000380054186909E-2</v>
      </c>
      <c r="D161" s="5">
        <v>3.4190857661972995E-2</v>
      </c>
      <c r="E161" s="5">
        <v>3.3223657812374609E-2</v>
      </c>
      <c r="F161" s="5">
        <v>5.9792707602097706E-2</v>
      </c>
      <c r="G161" s="5">
        <v>0.57182320441988943</v>
      </c>
      <c r="H161" s="10">
        <v>3.9837926568346647E-3</v>
      </c>
      <c r="I161" s="5">
        <v>0.49843086579287427</v>
      </c>
      <c r="J161" s="5">
        <v>-1.1376972740397232E-2</v>
      </c>
      <c r="K161" s="11">
        <v>5.5300000000000002E-2</v>
      </c>
      <c r="L161" s="11">
        <v>7.8899999999999998E-2</v>
      </c>
      <c r="M161" s="11">
        <v>5.4470161065999889E-2</v>
      </c>
      <c r="N161" s="5">
        <v>2.3599999999999996E-2</v>
      </c>
      <c r="O161" s="5">
        <v>1.4800000000000008E-2</v>
      </c>
      <c r="P161" s="5">
        <v>3.6910126300004897E-4</v>
      </c>
      <c r="Q161" s="5">
        <v>2.7223230490018846E-3</v>
      </c>
      <c r="R161" s="10">
        <v>3.5256114694000001E-2</v>
      </c>
      <c r="S161" s="5">
        <v>5.3028800541869092E-2</v>
      </c>
      <c r="T161" s="5">
        <v>1.3025E-2</v>
      </c>
    </row>
    <row r="162" spans="1:20" x14ac:dyDescent="0.3">
      <c r="A162" s="3">
        <v>19871</v>
      </c>
      <c r="B162" s="4">
        <f t="shared" si="4"/>
        <v>0.17998761229461943</v>
      </c>
      <c r="C162" s="4">
        <f t="shared" si="5"/>
        <v>0.19992885744864972</v>
      </c>
      <c r="D162" s="5">
        <v>2.8591018169352073E-2</v>
      </c>
      <c r="E162" s="5">
        <v>2.9345531315974668E-2</v>
      </c>
      <c r="F162" s="5">
        <v>5.1765512512855674E-2</v>
      </c>
      <c r="G162" s="5">
        <v>0.55231788079470201</v>
      </c>
      <c r="H162" s="10">
        <v>5.861569305969358E-3</v>
      </c>
      <c r="I162" s="5">
        <v>0.42804021365129363</v>
      </c>
      <c r="J162" s="5">
        <v>-2.2182415117624277E-3</v>
      </c>
      <c r="K162" s="11">
        <v>5.5899999999999998E-2</v>
      </c>
      <c r="L162" s="11">
        <v>7.9500000000000001E-2</v>
      </c>
      <c r="M162" s="11">
        <v>1.3508477593999979E-2</v>
      </c>
      <c r="N162" s="5">
        <v>2.3600000000000003E-2</v>
      </c>
      <c r="O162" s="5">
        <v>1.2499999999999997E-2</v>
      </c>
      <c r="P162" s="5">
        <v>5.0773324699999733E-3</v>
      </c>
      <c r="Q162" s="5">
        <v>1.4479638009049722E-2</v>
      </c>
      <c r="R162" s="10">
        <v>3.4072892011999999E-2</v>
      </c>
      <c r="S162" s="5">
        <v>0.21375385744864972</v>
      </c>
      <c r="T162" s="5">
        <v>1.3825E-2</v>
      </c>
    </row>
    <row r="163" spans="1:20" x14ac:dyDescent="0.3">
      <c r="A163" s="3">
        <v>19872</v>
      </c>
      <c r="B163" s="4">
        <f t="shared" si="4"/>
        <v>3.5045675821862063E-2</v>
      </c>
      <c r="C163" s="4">
        <f t="shared" si="5"/>
        <v>3.6165459163213745E-2</v>
      </c>
      <c r="D163" s="5">
        <v>2.8026315789473684E-2</v>
      </c>
      <c r="E163" s="5">
        <v>2.9369183040330916E-2</v>
      </c>
      <c r="F163" s="5">
        <v>4.7434210526315787E-2</v>
      </c>
      <c r="G163" s="5">
        <v>0.59084604715672673</v>
      </c>
      <c r="H163" s="10">
        <v>7.7535613731771801E-3</v>
      </c>
      <c r="I163" s="5">
        <v>0.40789239744803657</v>
      </c>
      <c r="J163" s="5">
        <v>5.2016795852218778E-3</v>
      </c>
      <c r="K163" s="11">
        <v>5.67E-2</v>
      </c>
      <c r="L163" s="11">
        <v>8.77E-2</v>
      </c>
      <c r="M163" s="11">
        <v>-4.8064922829999968E-2</v>
      </c>
      <c r="N163" s="5">
        <v>3.1E-2</v>
      </c>
      <c r="O163" s="5">
        <v>1.1999999999999997E-2</v>
      </c>
      <c r="P163" s="5">
        <v>7.5713089500000219E-3</v>
      </c>
      <c r="Q163" s="5">
        <v>1.2488849241748534E-2</v>
      </c>
      <c r="R163" s="10">
        <v>3.4447206531000002E-2</v>
      </c>
      <c r="S163" s="5">
        <v>5.0140459163213746E-2</v>
      </c>
      <c r="T163" s="5">
        <v>1.3975E-2</v>
      </c>
    </row>
    <row r="164" spans="1:20" x14ac:dyDescent="0.3">
      <c r="A164" s="3">
        <v>19873</v>
      </c>
      <c r="B164" s="4">
        <f t="shared" si="4"/>
        <v>5.0743546756769002E-2</v>
      </c>
      <c r="C164" s="4">
        <f t="shared" si="5"/>
        <v>5.2790908338634694E-2</v>
      </c>
      <c r="D164" s="5">
        <v>2.6908616350247026E-2</v>
      </c>
      <c r="E164" s="5">
        <v>2.6258338386901153E-2</v>
      </c>
      <c r="F164" s="5">
        <v>4.9280676133362337E-2</v>
      </c>
      <c r="G164" s="5">
        <v>0.5460277427490543</v>
      </c>
      <c r="H164" s="10">
        <v>5.1291192515072704E-3</v>
      </c>
      <c r="I164" s="5">
        <v>0.37996672161708289</v>
      </c>
      <c r="J164" s="5">
        <v>6.3495887695929195E-3</v>
      </c>
      <c r="K164" s="11">
        <v>6.4000000000000001E-2</v>
      </c>
      <c r="L164" s="11">
        <v>9.9199999999999997E-2</v>
      </c>
      <c r="M164" s="11">
        <v>-6.9651467530000066E-2</v>
      </c>
      <c r="N164" s="5">
        <v>3.5199999999999995E-2</v>
      </c>
      <c r="O164" s="5">
        <v>1.1300000000000004E-2</v>
      </c>
      <c r="P164" s="5">
        <v>8.9556311800000898E-3</v>
      </c>
      <c r="Q164" s="5">
        <v>1.3215859030837107E-2</v>
      </c>
      <c r="R164" s="10">
        <v>3.5073098970000001E-2</v>
      </c>
      <c r="S164" s="5">
        <v>6.6965908338634694E-2</v>
      </c>
      <c r="T164" s="5">
        <v>1.4175E-2</v>
      </c>
    </row>
    <row r="165" spans="1:20" x14ac:dyDescent="0.3">
      <c r="A165" s="3">
        <v>19874</v>
      </c>
      <c r="B165" s="4">
        <f t="shared" si="4"/>
        <v>-0.27306143750331574</v>
      </c>
      <c r="C165" s="4">
        <f t="shared" si="5"/>
        <v>-0.24277723410456664</v>
      </c>
      <c r="D165" s="5">
        <v>3.5656467540877451E-2</v>
      </c>
      <c r="E165" s="5">
        <v>3.8254450716456799E-2</v>
      </c>
      <c r="F165" s="5">
        <v>7.0827262425125465E-2</v>
      </c>
      <c r="G165" s="5">
        <v>0.50342857142857145</v>
      </c>
      <c r="H165" s="10">
        <v>8.4582780498294208E-2</v>
      </c>
      <c r="I165" s="5">
        <v>0.50881201549388033</v>
      </c>
      <c r="J165" s="5">
        <v>1.3274757067494015E-2</v>
      </c>
      <c r="K165" s="11">
        <v>5.7699999999999994E-2</v>
      </c>
      <c r="L165" s="11">
        <v>9.1999999999999998E-2</v>
      </c>
      <c r="M165" s="11">
        <v>8.3823313414999934E-2</v>
      </c>
      <c r="N165" s="5">
        <v>3.4300000000000004E-2</v>
      </c>
      <c r="O165" s="5">
        <v>1.1799999999999991E-2</v>
      </c>
      <c r="P165" s="5">
        <v>2.5637120850001693E-3</v>
      </c>
      <c r="Q165" s="5">
        <v>3.4782608695653749E-3</v>
      </c>
      <c r="R165" s="10">
        <v>3.4679619155999999E-2</v>
      </c>
      <c r="S165" s="5">
        <v>-0.22677723410456663</v>
      </c>
      <c r="T165" s="5">
        <v>1.6E-2</v>
      </c>
    </row>
    <row r="166" spans="1:20" x14ac:dyDescent="0.3">
      <c r="A166" s="3">
        <v>19881</v>
      </c>
      <c r="B166" s="4">
        <f t="shared" si="4"/>
        <v>4.252414247361512E-2</v>
      </c>
      <c r="C166" s="4">
        <f t="shared" si="5"/>
        <v>4.4067887314998576E-2</v>
      </c>
      <c r="D166" s="5">
        <v>3.4570667078682067E-2</v>
      </c>
      <c r="E166" s="5">
        <v>3.3417967291464415E-2</v>
      </c>
      <c r="F166" s="5">
        <v>7.1806558770134032E-2</v>
      </c>
      <c r="G166" s="5">
        <v>0.4814416352877891</v>
      </c>
      <c r="H166" s="10">
        <v>1.2784053042169004E-2</v>
      </c>
      <c r="I166" s="5">
        <v>0.5075299538243313</v>
      </c>
      <c r="J166" s="5">
        <v>6.0800296571685347E-3</v>
      </c>
      <c r="K166" s="11">
        <v>5.7000000000000002E-2</v>
      </c>
      <c r="L166" s="11">
        <v>9.01E-2</v>
      </c>
      <c r="M166" s="11">
        <v>3.923142797600021E-2</v>
      </c>
      <c r="N166" s="5">
        <v>3.3099999999999997E-2</v>
      </c>
      <c r="O166" s="5">
        <v>1.1799999999999991E-2</v>
      </c>
      <c r="P166" s="5">
        <v>6.9372189759999703E-3</v>
      </c>
      <c r="Q166" s="5">
        <v>9.5320623916810288E-3</v>
      </c>
      <c r="R166" s="10">
        <v>3.462166455E-2</v>
      </c>
      <c r="S166" s="5">
        <v>5.8492887314998576E-2</v>
      </c>
      <c r="T166" s="5">
        <v>1.4424999999999999E-2</v>
      </c>
    </row>
    <row r="167" spans="1:20" x14ac:dyDescent="0.3">
      <c r="A167" s="3">
        <v>19882</v>
      </c>
      <c r="B167" s="4">
        <f t="shared" si="4"/>
        <v>5.0866120511265031E-2</v>
      </c>
      <c r="C167" s="4">
        <f t="shared" si="5"/>
        <v>5.2925612022857713E-2</v>
      </c>
      <c r="D167" s="5">
        <v>3.374771480804388E-2</v>
      </c>
      <c r="E167" s="5">
        <v>3.5207506866036006E-2</v>
      </c>
      <c r="F167" s="5">
        <v>7.9232175502742239E-2</v>
      </c>
      <c r="G167" s="5">
        <v>0.42593447161975079</v>
      </c>
      <c r="H167" s="10">
        <v>8.3766419398848546E-3</v>
      </c>
      <c r="I167" s="5">
        <v>0.47111887230297284</v>
      </c>
      <c r="J167" s="5">
        <v>-5.3979245142151116E-3</v>
      </c>
      <c r="K167" s="11">
        <v>6.4600000000000005E-2</v>
      </c>
      <c r="L167" s="11">
        <v>9.1700000000000004E-2</v>
      </c>
      <c r="M167" s="11">
        <v>9.8050457600000751E-3</v>
      </c>
      <c r="N167" s="5">
        <v>2.7099999999999999E-2</v>
      </c>
      <c r="O167" s="5">
        <v>1.1400000000000007E-2</v>
      </c>
      <c r="P167" s="5">
        <v>6.8023630869999963E-3</v>
      </c>
      <c r="Q167" s="5">
        <v>1.2875536480686733E-2</v>
      </c>
      <c r="R167" s="10">
        <v>3.5059092627999999E-2</v>
      </c>
      <c r="S167" s="5">
        <v>6.7175612022857711E-2</v>
      </c>
      <c r="T167" s="5">
        <v>1.4250000000000001E-2</v>
      </c>
    </row>
    <row r="168" spans="1:20" x14ac:dyDescent="0.3">
      <c r="A168" s="3">
        <v>19883</v>
      </c>
      <c r="B168" s="4">
        <f t="shared" si="4"/>
        <v>-1.1665488611763742E-2</v>
      </c>
      <c r="C168" s="4">
        <f t="shared" si="5"/>
        <v>-1.178501363635032E-2</v>
      </c>
      <c r="D168" s="5">
        <v>3.4790923467323744E-2</v>
      </c>
      <c r="E168" s="5">
        <v>3.6173141633527077E-2</v>
      </c>
      <c r="F168" s="5">
        <v>8.3593836195800075E-2</v>
      </c>
      <c r="G168" s="5">
        <v>0.41619005719313684</v>
      </c>
      <c r="H168" s="10">
        <v>4.4936778308496232E-3</v>
      </c>
      <c r="I168" s="5">
        <v>0.47754045368709508</v>
      </c>
      <c r="J168" s="5">
        <v>-1.0001513634500452E-2</v>
      </c>
      <c r="K168" s="11">
        <v>7.2400000000000006E-2</v>
      </c>
      <c r="L168" s="11">
        <v>9.1700000000000004E-2</v>
      </c>
      <c r="M168" s="11">
        <v>2.2811598300000124E-2</v>
      </c>
      <c r="N168" s="5">
        <v>1.9299999999999998E-2</v>
      </c>
      <c r="O168" s="5">
        <v>1.079999999999999E-2</v>
      </c>
      <c r="P168" s="5">
        <v>3.8406876559999859E-3</v>
      </c>
      <c r="Q168" s="5">
        <v>1.5254237288135464E-2</v>
      </c>
      <c r="R168" s="10">
        <v>3.4927392448999998E-2</v>
      </c>
      <c r="S168" s="5">
        <v>4.3649863636496811E-3</v>
      </c>
      <c r="T168" s="5">
        <v>1.6150000000000001E-2</v>
      </c>
    </row>
    <row r="169" spans="1:20" x14ac:dyDescent="0.3">
      <c r="A169" s="3">
        <v>19884</v>
      </c>
      <c r="B169" s="4">
        <f t="shared" si="4"/>
        <v>1.2521608673779185E-2</v>
      </c>
      <c r="C169" s="4">
        <f t="shared" si="5"/>
        <v>1.2828398268281308E-2</v>
      </c>
      <c r="D169" s="5">
        <v>3.5107302318882323E-2</v>
      </c>
      <c r="E169" s="5">
        <v>3.562294483010596E-2</v>
      </c>
      <c r="F169" s="5">
        <v>8.5517787699841558E-2</v>
      </c>
      <c r="G169" s="5">
        <v>0.41052631578947368</v>
      </c>
      <c r="H169" s="10">
        <v>3.6076498949090528E-3</v>
      </c>
      <c r="I169" s="5">
        <v>0.46528357396809877</v>
      </c>
      <c r="J169" s="5">
        <v>-2.1405748349733481E-2</v>
      </c>
      <c r="K169" s="11">
        <v>8.0700000000000008E-2</v>
      </c>
      <c r="L169" s="11">
        <v>9.1800000000000007E-2</v>
      </c>
      <c r="M169" s="11">
        <v>2.1712879519999673E-2</v>
      </c>
      <c r="N169" s="5">
        <v>1.1099999999999999E-2</v>
      </c>
      <c r="O169" s="5">
        <v>1.079999999999999E-2</v>
      </c>
      <c r="P169" s="5">
        <v>-7.8354888629994512E-3</v>
      </c>
      <c r="Q169" s="5">
        <v>5.8430717863104942E-3</v>
      </c>
      <c r="R169" s="10">
        <v>3.5065642581999998E-2</v>
      </c>
      <c r="S169" s="5">
        <v>3.092839826828131E-2</v>
      </c>
      <c r="T169" s="5">
        <v>1.8100000000000002E-2</v>
      </c>
    </row>
    <row r="170" spans="1:20" x14ac:dyDescent="0.3">
      <c r="A170" s="3">
        <v>19891</v>
      </c>
      <c r="B170" s="4">
        <f t="shared" si="4"/>
        <v>4.726151932525282E-2</v>
      </c>
      <c r="C170" s="4">
        <f t="shared" si="5"/>
        <v>4.9372541392937841E-2</v>
      </c>
      <c r="D170" s="5">
        <v>3.3950554481635975E-2</v>
      </c>
      <c r="E170" s="5">
        <v>3.4656927231184652E-2</v>
      </c>
      <c r="F170" s="5">
        <v>8.4647471767219457E-2</v>
      </c>
      <c r="G170" s="5">
        <v>0.4010817307692307</v>
      </c>
      <c r="H170" s="10">
        <v>3.4271038800171055E-3</v>
      </c>
      <c r="I170" s="5">
        <v>0.46869141357330335</v>
      </c>
      <c r="J170" s="5">
        <v>-2.310213300004323E-2</v>
      </c>
      <c r="K170" s="11">
        <v>8.8200000000000001E-2</v>
      </c>
      <c r="L170" s="11">
        <v>9.2899999999999996E-2</v>
      </c>
      <c r="M170" s="11">
        <v>1.426147688599988E-2</v>
      </c>
      <c r="N170" s="5">
        <v>4.6999999999999958E-3</v>
      </c>
      <c r="O170" s="5">
        <v>8.6999999999999994E-3</v>
      </c>
      <c r="P170" s="5">
        <v>-7.7700459800000843E-4</v>
      </c>
      <c r="Q170" s="5">
        <v>1.4937759336099532E-2</v>
      </c>
      <c r="R170" s="10">
        <v>3.5272339497000003E-2</v>
      </c>
      <c r="S170" s="5">
        <v>6.9547541392937839E-2</v>
      </c>
      <c r="T170" s="5">
        <v>2.0175000000000002E-2</v>
      </c>
    </row>
    <row r="171" spans="1:20" x14ac:dyDescent="0.3">
      <c r="A171" s="3">
        <v>19892</v>
      </c>
      <c r="B171" s="4">
        <f t="shared" si="4"/>
        <v>6.3180266289565398E-2</v>
      </c>
      <c r="C171" s="4">
        <f t="shared" si="5"/>
        <v>6.6656920505127407E-2</v>
      </c>
      <c r="D171" s="5">
        <v>3.2605824265677083E-2</v>
      </c>
      <c r="E171" s="5">
        <v>3.2347435417446647E-2</v>
      </c>
      <c r="F171" s="5">
        <v>7.9313164349959123E-2</v>
      </c>
      <c r="G171" s="5">
        <v>0.4111022997620935</v>
      </c>
      <c r="H171" s="10">
        <v>3.4581695554285322E-3</v>
      </c>
      <c r="I171" s="5">
        <v>0.44056293697695958</v>
      </c>
      <c r="J171" s="5">
        <v>-2.3948068670626252E-2</v>
      </c>
      <c r="K171" s="11">
        <v>8.1500000000000003E-2</v>
      </c>
      <c r="L171" s="11">
        <v>8.2100000000000006E-2</v>
      </c>
      <c r="M171" s="11">
        <v>0.11475265744999996</v>
      </c>
      <c r="N171" s="5">
        <v>6.0000000000000331E-4</v>
      </c>
      <c r="O171" s="5">
        <v>9.3000000000000027E-3</v>
      </c>
      <c r="P171" s="5">
        <v>-1.287510028499983E-2</v>
      </c>
      <c r="Q171" s="5">
        <v>1.4717906786590351E-2</v>
      </c>
      <c r="R171" s="10">
        <v>3.5385626917999999E-2</v>
      </c>
      <c r="S171" s="5">
        <v>8.8706920505127407E-2</v>
      </c>
      <c r="T171" s="5">
        <v>2.205E-2</v>
      </c>
    </row>
    <row r="172" spans="1:20" x14ac:dyDescent="0.3">
      <c r="A172" s="3">
        <v>19893</v>
      </c>
      <c r="B172" s="4">
        <f t="shared" si="4"/>
        <v>8.1702573916093549E-2</v>
      </c>
      <c r="C172" s="4">
        <f t="shared" si="5"/>
        <v>8.6867600144874962E-2</v>
      </c>
      <c r="D172" s="5">
        <v>3.0743233567234709E-2</v>
      </c>
      <c r="E172" s="5">
        <v>3.0542040119504905E-2</v>
      </c>
      <c r="F172" s="5">
        <v>6.7850494056995558E-2</v>
      </c>
      <c r="G172" s="5">
        <v>0.45310257492612915</v>
      </c>
      <c r="H172" s="10">
        <v>2.9494681084501089E-3</v>
      </c>
      <c r="I172" s="5">
        <v>0.39920975037321466</v>
      </c>
      <c r="J172" s="5">
        <v>-2.5747099827376781E-2</v>
      </c>
      <c r="K172" s="11">
        <v>7.7499999999999999E-2</v>
      </c>
      <c r="L172" s="11">
        <v>8.4699999999999998E-2</v>
      </c>
      <c r="M172" s="11">
        <v>-8.2158119799990992E-4</v>
      </c>
      <c r="N172" s="5">
        <v>7.1999999999999981E-3</v>
      </c>
      <c r="O172" s="5">
        <v>9.000000000000008E-3</v>
      </c>
      <c r="P172" s="5">
        <v>6.0362806380001022E-3</v>
      </c>
      <c r="Q172" s="5">
        <v>7.2522159548751297E-3</v>
      </c>
      <c r="R172" s="10">
        <v>3.5912266042999998E-2</v>
      </c>
      <c r="S172" s="5">
        <v>0.10724260014487497</v>
      </c>
      <c r="T172" s="5">
        <v>2.0375000000000001E-2</v>
      </c>
    </row>
    <row r="173" spans="1:20" x14ac:dyDescent="0.3">
      <c r="A173" s="3">
        <v>19894</v>
      </c>
      <c r="B173" s="4">
        <f t="shared" si="4"/>
        <v>-4.3631101236472902E-4</v>
      </c>
      <c r="C173" s="4">
        <f t="shared" si="5"/>
        <v>-4.4466752450630573E-4</v>
      </c>
      <c r="D173" s="5">
        <v>3.1281833616298813E-2</v>
      </c>
      <c r="E173" s="5">
        <v>3.1951790514176709E-2</v>
      </c>
      <c r="F173" s="5">
        <v>6.4714204867006228E-2</v>
      </c>
      <c r="G173" s="5">
        <v>0.48338434630520327</v>
      </c>
      <c r="H173" s="10">
        <v>7.4041424452350145E-3</v>
      </c>
      <c r="I173" s="5">
        <v>0.39045474357111726</v>
      </c>
      <c r="J173" s="5">
        <v>-1.2333538177131041E-2</v>
      </c>
      <c r="K173" s="11">
        <v>7.6299999999999993E-2</v>
      </c>
      <c r="L173" s="11">
        <v>8.1600000000000006E-2</v>
      </c>
      <c r="M173" s="11">
        <v>4.5368022627999993E-2</v>
      </c>
      <c r="N173" s="5">
        <v>5.300000000000013E-3</v>
      </c>
      <c r="O173" s="5">
        <v>9.6000000000000113E-3</v>
      </c>
      <c r="P173" s="5">
        <v>-9.9539467080000943E-3</v>
      </c>
      <c r="Q173" s="5">
        <v>8.799999999999919E-3</v>
      </c>
      <c r="R173" s="10">
        <v>3.5165904577000001E-2</v>
      </c>
      <c r="S173" s="5">
        <v>1.8930332475493694E-2</v>
      </c>
      <c r="T173" s="5">
        <v>1.9375E-2</v>
      </c>
    </row>
    <row r="174" spans="1:20" x14ac:dyDescent="0.3">
      <c r="A174" s="3">
        <v>19901</v>
      </c>
      <c r="B174" s="4">
        <f t="shared" si="4"/>
        <v>-4.9421202505985987E-2</v>
      </c>
      <c r="C174" s="4">
        <f t="shared" si="5"/>
        <v>-4.9139640507508339E-2</v>
      </c>
      <c r="D174" s="5">
        <v>3.3294110725422134E-2</v>
      </c>
      <c r="E174" s="5">
        <v>3.4101660188616711E-2</v>
      </c>
      <c r="F174" s="5">
        <v>6.3746543507677819E-2</v>
      </c>
      <c r="G174" s="5">
        <v>0.52228887863405637</v>
      </c>
      <c r="H174" s="10">
        <v>4.9328706149520708E-3</v>
      </c>
      <c r="I174" s="5">
        <v>0.4713339563609768</v>
      </c>
      <c r="J174" s="5">
        <v>-1.0291442803506972E-2</v>
      </c>
      <c r="K174" s="11">
        <v>7.9000000000000001E-2</v>
      </c>
      <c r="L174" s="11">
        <v>8.8900000000000007E-2</v>
      </c>
      <c r="M174" s="11">
        <v>-4.0952707299999891E-2</v>
      </c>
      <c r="N174" s="5">
        <v>9.900000000000006E-3</v>
      </c>
      <c r="O174" s="5">
        <v>8.4000000000000186E-3</v>
      </c>
      <c r="P174" s="5">
        <v>1.9597932087999981E-2</v>
      </c>
      <c r="Q174" s="5">
        <v>2.0618556701030855E-2</v>
      </c>
      <c r="R174" s="10">
        <v>3.5258698161000003E-2</v>
      </c>
      <c r="S174" s="5">
        <v>-3.0064640507508344E-2</v>
      </c>
      <c r="T174" s="5">
        <v>1.9074999999999998E-2</v>
      </c>
    </row>
    <row r="175" spans="1:20" x14ac:dyDescent="0.3">
      <c r="A175" s="3">
        <v>19902</v>
      </c>
      <c r="B175" s="4">
        <f t="shared" si="4"/>
        <v>4.181742906006778E-2</v>
      </c>
      <c r="C175" s="4">
        <f t="shared" si="5"/>
        <v>4.3547499760058603E-2</v>
      </c>
      <c r="D175" s="5">
        <v>3.257639238031395E-2</v>
      </c>
      <c r="E175" s="5">
        <v>3.2286908617778144E-2</v>
      </c>
      <c r="F175" s="5">
        <v>5.9382157421373108E-2</v>
      </c>
      <c r="G175" s="5">
        <v>0.54858889934148636</v>
      </c>
      <c r="H175" s="10">
        <v>3.6790495586213165E-3</v>
      </c>
      <c r="I175" s="5">
        <v>0.44294943225407801</v>
      </c>
      <c r="J175" s="5">
        <v>-5.0727477402562956E-4</v>
      </c>
      <c r="K175" s="11">
        <v>7.7300000000000008E-2</v>
      </c>
      <c r="L175" s="11">
        <v>8.6400000000000005E-2</v>
      </c>
      <c r="M175" s="11">
        <v>4.3932319099999839E-2</v>
      </c>
      <c r="N175" s="5">
        <v>9.099999999999997E-3</v>
      </c>
      <c r="O175" s="5">
        <v>9.6000000000000113E-3</v>
      </c>
      <c r="P175" s="5">
        <v>-3.2645126599997187E-3</v>
      </c>
      <c r="Q175" s="5">
        <v>9.3240093240094524E-3</v>
      </c>
      <c r="R175" s="10">
        <v>3.4446187901999999E-2</v>
      </c>
      <c r="S175" s="5">
        <v>6.3297499760058606E-2</v>
      </c>
      <c r="T175" s="5">
        <v>1.975E-2</v>
      </c>
    </row>
    <row r="176" spans="1:20" x14ac:dyDescent="0.3">
      <c r="A176" s="3">
        <v>19903</v>
      </c>
      <c r="B176" s="4">
        <f t="shared" si="4"/>
        <v>-0.16899398386240286</v>
      </c>
      <c r="C176" s="4">
        <f t="shared" si="5"/>
        <v>-0.15849078317451223</v>
      </c>
      <c r="D176" s="5">
        <v>3.8666884495997381E-2</v>
      </c>
      <c r="E176" s="5">
        <v>3.6687748015873017E-2</v>
      </c>
      <c r="F176" s="5">
        <v>7.1034144747590261E-2</v>
      </c>
      <c r="G176" s="5">
        <v>0.54434222631094753</v>
      </c>
      <c r="H176" s="10">
        <v>9.1110175760017783E-3</v>
      </c>
      <c r="I176" s="5">
        <v>0.52028966597077242</v>
      </c>
      <c r="J176" s="5">
        <v>1.3728794527234269E-3</v>
      </c>
      <c r="K176" s="11">
        <v>7.3599999999999999E-2</v>
      </c>
      <c r="L176" s="11">
        <v>9.1399999999999995E-2</v>
      </c>
      <c r="M176" s="11">
        <v>-2.0318615461000111E-2</v>
      </c>
      <c r="N176" s="5">
        <v>1.7799999999999996E-2</v>
      </c>
      <c r="O176" s="5">
        <v>1.0800000000000004E-2</v>
      </c>
      <c r="P176" s="5">
        <v>9.9451651170001654E-3</v>
      </c>
      <c r="Q176" s="5">
        <v>2.155504234026151E-2</v>
      </c>
      <c r="R176" s="10">
        <v>3.4365576415000001E-2</v>
      </c>
      <c r="S176" s="5">
        <v>-0.13916578317451223</v>
      </c>
      <c r="T176" s="5">
        <v>1.9325000000000002E-2</v>
      </c>
    </row>
    <row r="177" spans="1:20" x14ac:dyDescent="0.3">
      <c r="A177" s="3">
        <v>19904</v>
      </c>
      <c r="B177" s="4">
        <f t="shared" si="4"/>
        <v>6.8328775626068261E-2</v>
      </c>
      <c r="C177" s="4">
        <f t="shared" si="5"/>
        <v>7.2018474244261083E-2</v>
      </c>
      <c r="D177" s="5">
        <v>3.6599842529222937E-2</v>
      </c>
      <c r="E177" s="5">
        <v>3.7508534541617525E-2</v>
      </c>
      <c r="F177" s="5">
        <v>6.4623584277148552E-2</v>
      </c>
      <c r="G177" s="5">
        <v>0.56635426429240876</v>
      </c>
      <c r="H177" s="10">
        <v>7.7272519009752086E-3</v>
      </c>
      <c r="I177" s="5">
        <v>0.4844968598832044</v>
      </c>
      <c r="J177" s="5">
        <v>-1.8459043801950571E-3</v>
      </c>
      <c r="K177" s="11">
        <v>6.7400000000000002E-2</v>
      </c>
      <c r="L177" s="11">
        <v>8.4400000000000003E-2</v>
      </c>
      <c r="M177" s="11">
        <v>8.2434252409999909E-2</v>
      </c>
      <c r="N177" s="5">
        <v>1.7000000000000001E-2</v>
      </c>
      <c r="O177" s="5">
        <v>1.3799999999999993E-2</v>
      </c>
      <c r="P177" s="5">
        <v>-2.2955379869999959E-2</v>
      </c>
      <c r="Q177" s="5">
        <v>8.2893745290129051E-3</v>
      </c>
      <c r="R177" s="10">
        <v>3.3511133415999997E-2</v>
      </c>
      <c r="S177" s="5">
        <v>9.0418474244261082E-2</v>
      </c>
      <c r="T177" s="5">
        <v>1.84E-2</v>
      </c>
    </row>
    <row r="178" spans="1:20" x14ac:dyDescent="0.3">
      <c r="A178" s="3">
        <v>19911</v>
      </c>
      <c r="B178" s="4">
        <f t="shared" si="4"/>
        <v>0.12049059550601132</v>
      </c>
      <c r="C178" s="4">
        <f t="shared" si="5"/>
        <v>0.13020777690234422</v>
      </c>
      <c r="D178" s="5">
        <v>3.2274399019242041E-2</v>
      </c>
      <c r="E178" s="5">
        <v>3.299098264636173E-2</v>
      </c>
      <c r="F178" s="5">
        <v>5.5807259740951971E-2</v>
      </c>
      <c r="G178" s="5">
        <v>0.57831900668576885</v>
      </c>
      <c r="H178" s="10">
        <v>6.9999508427921117E-3</v>
      </c>
      <c r="I178" s="5">
        <v>0.45712559971995909</v>
      </c>
      <c r="J178" s="5">
        <v>3.2513976871146005E-3</v>
      </c>
      <c r="K178" s="11">
        <v>5.91E-2</v>
      </c>
      <c r="L178" s="11">
        <v>8.4400000000000003E-2</v>
      </c>
      <c r="M178" s="11">
        <v>1.989994819999974E-2</v>
      </c>
      <c r="N178" s="5">
        <v>2.5300000000000003E-2</v>
      </c>
      <c r="O178" s="5">
        <v>1.1600000000000013E-2</v>
      </c>
      <c r="P178" s="5">
        <v>1.8476192000000058E-2</v>
      </c>
      <c r="Q178" s="5">
        <v>8.9686098654706559E-3</v>
      </c>
      <c r="R178" s="10">
        <v>3.2562546230000003E-2</v>
      </c>
      <c r="S178" s="5">
        <v>0.14705777690234423</v>
      </c>
      <c r="T178" s="5">
        <v>1.685E-2</v>
      </c>
    </row>
    <row r="179" spans="1:20" x14ac:dyDescent="0.3">
      <c r="A179" s="3">
        <v>19912</v>
      </c>
      <c r="B179" s="4">
        <f t="shared" si="4"/>
        <v>-1.6785251780637379E-2</v>
      </c>
      <c r="C179" s="4">
        <f t="shared" si="5"/>
        <v>-1.6891096641190723E-2</v>
      </c>
      <c r="D179" s="5">
        <v>3.2727125767862915E-2</v>
      </c>
      <c r="E179" s="5">
        <v>3.1159736295308212E-2</v>
      </c>
      <c r="F179" s="5">
        <v>5.2295505981247978E-2</v>
      </c>
      <c r="G179" s="5">
        <v>0.62581143740340028</v>
      </c>
      <c r="H179" s="10">
        <v>4.8378338941479455E-3</v>
      </c>
      <c r="I179" s="5">
        <v>0.45824374301195492</v>
      </c>
      <c r="J179" s="5">
        <v>1.4247487395344205E-2</v>
      </c>
      <c r="K179" s="11">
        <v>5.57E-2</v>
      </c>
      <c r="L179" s="11">
        <v>8.5999999999999993E-2</v>
      </c>
      <c r="M179" s="11">
        <v>7.6118000000000574E-3</v>
      </c>
      <c r="N179" s="5">
        <v>3.0299999999999994E-2</v>
      </c>
      <c r="O179" s="5">
        <v>9.5000000000000084E-3</v>
      </c>
      <c r="P179" s="5">
        <v>8.3100631239998446E-3</v>
      </c>
      <c r="Q179" s="5">
        <v>7.4074074074073071E-3</v>
      </c>
      <c r="R179" s="10">
        <v>3.2155365946999998E-2</v>
      </c>
      <c r="S179" s="5">
        <v>-2.1160966411907234E-3</v>
      </c>
      <c r="T179" s="5">
        <v>1.4775E-2</v>
      </c>
    </row>
    <row r="180" spans="1:20" x14ac:dyDescent="0.3">
      <c r="A180" s="3">
        <v>19913</v>
      </c>
      <c r="B180" s="4">
        <f t="shared" si="4"/>
        <v>3.8246620036682548E-2</v>
      </c>
      <c r="C180" s="4">
        <f t="shared" si="5"/>
        <v>3.9530336456347924E-2</v>
      </c>
      <c r="D180" s="5">
        <v>3.1648017325839217E-2</v>
      </c>
      <c r="E180" s="5">
        <v>3.1042156639607511E-2</v>
      </c>
      <c r="F180" s="5">
        <v>4.594441293250142E-2</v>
      </c>
      <c r="G180" s="5">
        <v>0.68883277216610539</v>
      </c>
      <c r="H180" s="10">
        <v>3.6176634863204406E-3</v>
      </c>
      <c r="I180" s="5">
        <v>0.44153183703099674</v>
      </c>
      <c r="J180" s="5">
        <v>2.3289041606945612E-2</v>
      </c>
      <c r="K180" s="11">
        <v>5.2199999999999996E-2</v>
      </c>
      <c r="L180" s="11">
        <v>7.9000000000000001E-2</v>
      </c>
      <c r="M180" s="11">
        <v>8.205588414000009E-2</v>
      </c>
      <c r="N180" s="5">
        <v>2.6800000000000004E-2</v>
      </c>
      <c r="O180" s="5">
        <v>9.000000000000008E-3</v>
      </c>
      <c r="P180" s="5">
        <v>-9.0863684650002163E-3</v>
      </c>
      <c r="Q180" s="5">
        <v>8.8235294117646745E-3</v>
      </c>
      <c r="R180" s="10">
        <v>3.1651779487000001E-2</v>
      </c>
      <c r="S180" s="5">
        <v>5.3455336456347924E-2</v>
      </c>
      <c r="T180" s="5">
        <v>1.3925E-2</v>
      </c>
    </row>
    <row r="181" spans="1:20" x14ac:dyDescent="0.3">
      <c r="A181" s="3">
        <v>19914</v>
      </c>
      <c r="B181" s="4">
        <f t="shared" si="4"/>
        <v>6.7394757666081134E-2</v>
      </c>
      <c r="C181" s="4">
        <f t="shared" si="5"/>
        <v>7.0627489735830773E-2</v>
      </c>
      <c r="D181" s="5">
        <v>2.92574744060035E-2</v>
      </c>
      <c r="E181" s="5">
        <v>3.2522253611214753E-2</v>
      </c>
      <c r="F181" s="5">
        <v>3.8289098276151429E-2</v>
      </c>
      <c r="G181" s="5">
        <v>0.76412022542266755</v>
      </c>
      <c r="H181" s="10">
        <v>5.2242316991373506E-3</v>
      </c>
      <c r="I181" s="5">
        <v>0.42034441734015393</v>
      </c>
      <c r="J181" s="5">
        <v>3.1812383395968778E-2</v>
      </c>
      <c r="K181" s="11">
        <v>4.07E-2</v>
      </c>
      <c r="L181" s="11">
        <v>7.2999999999999995E-2</v>
      </c>
      <c r="M181" s="11">
        <v>7.2537012668000056E-2</v>
      </c>
      <c r="N181" s="5">
        <v>3.2299999999999995E-2</v>
      </c>
      <c r="O181" s="5">
        <v>9.4999999999999946E-3</v>
      </c>
      <c r="P181" s="5">
        <v>-1.3339805380000014E-2</v>
      </c>
      <c r="Q181" s="5">
        <v>5.1020408163267028E-3</v>
      </c>
      <c r="R181" s="10">
        <v>3.1424589960999998E-2</v>
      </c>
      <c r="S181" s="5">
        <v>8.3677489735830779E-2</v>
      </c>
      <c r="T181" s="5">
        <v>1.3049999999999999E-2</v>
      </c>
    </row>
    <row r="182" spans="1:20" x14ac:dyDescent="0.3">
      <c r="A182" s="3">
        <v>19921</v>
      </c>
      <c r="B182" s="4">
        <f t="shared" si="4"/>
        <v>-3.5521083740275627E-2</v>
      </c>
      <c r="C182" s="4">
        <f t="shared" si="5"/>
        <v>-3.5252697174520689E-2</v>
      </c>
      <c r="D182" s="5">
        <v>3.0528375733855181E-2</v>
      </c>
      <c r="E182" s="5">
        <v>2.9861885146595588E-2</v>
      </c>
      <c r="F182" s="5">
        <v>4.0105031088211257E-2</v>
      </c>
      <c r="G182" s="5">
        <v>0.76121062384187754</v>
      </c>
      <c r="H182" s="10">
        <v>2.255428223099736E-3</v>
      </c>
      <c r="I182" s="5">
        <v>0.40210603421764723</v>
      </c>
      <c r="J182" s="5">
        <v>4.1900536442667682E-2</v>
      </c>
      <c r="K182" s="11">
        <v>4.0399999999999998E-2</v>
      </c>
      <c r="L182" s="11">
        <v>7.9699999999999993E-2</v>
      </c>
      <c r="M182" s="11">
        <v>-3.6607066743999828E-2</v>
      </c>
      <c r="N182" s="5">
        <v>3.9299999999999995E-2</v>
      </c>
      <c r="O182" s="5">
        <v>9.000000000000008E-3</v>
      </c>
      <c r="P182" s="5">
        <v>2.149840912799994E-2</v>
      </c>
      <c r="Q182" s="5">
        <v>1.0152284263959421E-2</v>
      </c>
      <c r="R182" s="10">
        <v>3.1101869981999999E-2</v>
      </c>
      <c r="S182" s="5">
        <v>-2.5077697174520686E-2</v>
      </c>
      <c r="T182" s="5">
        <v>1.0175E-2</v>
      </c>
    </row>
    <row r="183" spans="1:20" x14ac:dyDescent="0.3">
      <c r="A183" s="3">
        <v>19922</v>
      </c>
      <c r="B183" s="4">
        <f t="shared" si="4"/>
        <v>7.8571106596770825E-3</v>
      </c>
      <c r="C183" s="4">
        <f t="shared" si="5"/>
        <v>7.9677281481629319E-3</v>
      </c>
      <c r="D183" s="5">
        <v>3.0185720586073408E-2</v>
      </c>
      <c r="E183" s="5">
        <v>2.9661731070181774E-2</v>
      </c>
      <c r="F183" s="5">
        <v>4.1774881168226592E-2</v>
      </c>
      <c r="G183" s="5">
        <v>0.72258064516129028</v>
      </c>
      <c r="H183" s="10">
        <v>3.103991632955664E-3</v>
      </c>
      <c r="I183" s="5">
        <v>0.39204235383314068</v>
      </c>
      <c r="J183" s="5">
        <v>4.3076560760196829E-2</v>
      </c>
      <c r="K183" s="11">
        <v>3.6600000000000001E-2</v>
      </c>
      <c r="L183" s="11">
        <v>7.6499999999999999E-2</v>
      </c>
      <c r="M183" s="11">
        <v>4.645765759999998E-2</v>
      </c>
      <c r="N183" s="5">
        <v>3.9899999999999998E-2</v>
      </c>
      <c r="O183" s="5">
        <v>8.3000000000000018E-3</v>
      </c>
      <c r="P183" s="5">
        <v>-3.395183615999775E-3</v>
      </c>
      <c r="Q183" s="5">
        <v>6.4608758076092343E-3</v>
      </c>
      <c r="R183" s="10">
        <v>3.1912942361E-2</v>
      </c>
      <c r="S183" s="5">
        <v>1.8067728148162931E-2</v>
      </c>
      <c r="T183" s="5">
        <v>1.01E-2</v>
      </c>
    </row>
    <row r="184" spans="1:20" x14ac:dyDescent="0.3">
      <c r="A184" s="3">
        <v>19923</v>
      </c>
      <c r="B184" s="4">
        <f t="shared" si="4"/>
        <v>2.1446116743242975E-2</v>
      </c>
      <c r="C184" s="4">
        <f t="shared" si="5"/>
        <v>2.1876088828731259E-2</v>
      </c>
      <c r="D184" s="5">
        <v>2.9667304930588796E-2</v>
      </c>
      <c r="E184" s="5">
        <v>2.9937444146559428E-2</v>
      </c>
      <c r="F184" s="5">
        <v>4.3178554332216366E-2</v>
      </c>
      <c r="G184" s="5">
        <v>0.68708425720620847</v>
      </c>
      <c r="H184" s="10">
        <v>2.1392515812719156E-3</v>
      </c>
      <c r="I184" s="5">
        <v>0.39765697210960538</v>
      </c>
      <c r="J184" s="5">
        <v>4.1137783393509243E-2</v>
      </c>
      <c r="K184" s="11">
        <v>2.9100000000000001E-2</v>
      </c>
      <c r="L184" s="11">
        <v>7.0999999999999994E-2</v>
      </c>
      <c r="M184" s="11">
        <v>6.6131843209999985E-2</v>
      </c>
      <c r="N184" s="5">
        <v>4.1899999999999993E-2</v>
      </c>
      <c r="O184" s="5">
        <v>7.0000000000000062E-3</v>
      </c>
      <c r="P184" s="5">
        <v>-1.5757878930000135E-2</v>
      </c>
      <c r="Q184" s="5">
        <v>7.8459343794581304E-3</v>
      </c>
      <c r="R184" s="10">
        <v>3.2178689658999997E-2</v>
      </c>
      <c r="S184" s="5">
        <v>3.1026088828731258E-2</v>
      </c>
      <c r="T184" s="5">
        <v>9.1500000000000001E-3</v>
      </c>
    </row>
    <row r="185" spans="1:20" x14ac:dyDescent="0.3">
      <c r="A185" s="3">
        <v>19924</v>
      </c>
      <c r="B185" s="4">
        <f t="shared" si="4"/>
        <v>4.4062679249883788E-2</v>
      </c>
      <c r="C185" s="4">
        <f t="shared" si="5"/>
        <v>4.5375578801201272E-2</v>
      </c>
      <c r="D185" s="5">
        <v>2.8424869752817244E-2</v>
      </c>
      <c r="E185" s="5">
        <v>2.8712182682276575E-2</v>
      </c>
      <c r="F185" s="5">
        <v>4.3813545707006962E-2</v>
      </c>
      <c r="G185" s="5">
        <v>0.6487689889994761</v>
      </c>
      <c r="H185" s="10">
        <v>1.9237917880467589E-3</v>
      </c>
      <c r="I185" s="5">
        <v>0.39410961419895257</v>
      </c>
      <c r="J185" s="5">
        <v>3.8828686280852752E-2</v>
      </c>
      <c r="K185" s="11">
        <v>3.2199999999999999E-2</v>
      </c>
      <c r="L185" s="11">
        <v>7.2599999999999998E-2</v>
      </c>
      <c r="M185" s="11">
        <v>5.3172329199997481E-3</v>
      </c>
      <c r="N185" s="5">
        <v>4.0399999999999998E-2</v>
      </c>
      <c r="O185" s="5">
        <v>8.3000000000000018E-3</v>
      </c>
      <c r="P185" s="5">
        <v>8.4743128880002683E-3</v>
      </c>
      <c r="Q185" s="5">
        <v>4.2462845010615702E-3</v>
      </c>
      <c r="R185" s="10">
        <v>3.2786411963999999E-2</v>
      </c>
      <c r="S185" s="5">
        <v>5.2650578801201275E-2</v>
      </c>
      <c r="T185" s="5">
        <v>7.2750000000000002E-3</v>
      </c>
    </row>
    <row r="186" spans="1:20" x14ac:dyDescent="0.3">
      <c r="A186" s="3">
        <v>19931</v>
      </c>
      <c r="B186" s="4">
        <f t="shared" si="4"/>
        <v>3.3653547780727759E-2</v>
      </c>
      <c r="C186" s="4">
        <f t="shared" si="5"/>
        <v>3.4501755867231032E-2</v>
      </c>
      <c r="D186" s="5">
        <v>2.7628578386875369E-2</v>
      </c>
      <c r="E186" s="5">
        <v>2.8145157652577923E-2</v>
      </c>
      <c r="F186" s="5">
        <v>4.3925875085792723E-2</v>
      </c>
      <c r="G186" s="5">
        <v>0.62898185483870961</v>
      </c>
      <c r="H186" s="10">
        <v>2.5004721900353188E-3</v>
      </c>
      <c r="I186" s="5">
        <v>0.33361352638732605</v>
      </c>
      <c r="J186" s="5">
        <v>3.7106416302167856E-2</v>
      </c>
      <c r="K186" s="11">
        <v>2.9500000000000002E-2</v>
      </c>
      <c r="L186" s="11">
        <v>7.0199999999999999E-2</v>
      </c>
      <c r="M186" s="11">
        <v>6.662642152000009E-2</v>
      </c>
      <c r="N186" s="5">
        <v>4.07E-2</v>
      </c>
      <c r="O186" s="5">
        <v>5.6999999999999967E-3</v>
      </c>
      <c r="P186" s="5">
        <v>-1.2758321520000226E-2</v>
      </c>
      <c r="Q186" s="5">
        <v>1.1980267794221122E-2</v>
      </c>
      <c r="R186" s="10">
        <v>3.2856225542000003E-2</v>
      </c>
      <c r="S186" s="5">
        <v>4.2551755867231034E-2</v>
      </c>
      <c r="T186" s="5">
        <v>8.0499999999999999E-3</v>
      </c>
    </row>
    <row r="187" spans="1:20" x14ac:dyDescent="0.3">
      <c r="A187" s="3">
        <v>19932</v>
      </c>
      <c r="B187" s="4">
        <f t="shared" si="4"/>
        <v>-2.7923751581739329E-3</v>
      </c>
      <c r="C187" s="4">
        <f t="shared" si="5"/>
        <v>-2.8090451457630583E-3</v>
      </c>
      <c r="D187" s="5">
        <v>2.7796151199698135E-2</v>
      </c>
      <c r="E187" s="5">
        <v>2.781714387258713E-2</v>
      </c>
      <c r="F187" s="5">
        <v>4.2905022972942984E-2</v>
      </c>
      <c r="G187" s="5">
        <v>0.64785307811691661</v>
      </c>
      <c r="H187" s="10">
        <v>2.3959445426025103E-3</v>
      </c>
      <c r="I187" s="5">
        <v>0.32593124756094427</v>
      </c>
      <c r="J187" s="5">
        <v>4.1154022202147478E-2</v>
      </c>
      <c r="K187" s="11">
        <v>3.0699999999999998E-2</v>
      </c>
      <c r="L187" s="11">
        <v>6.6799999999999998E-2</v>
      </c>
      <c r="M187" s="11">
        <v>5.7369669415999969E-2</v>
      </c>
      <c r="N187" s="5">
        <v>3.61E-2</v>
      </c>
      <c r="O187" s="5">
        <v>7.4000000000000038E-3</v>
      </c>
      <c r="P187" s="5">
        <v>-2.0648004695999589E-2</v>
      </c>
      <c r="Q187" s="5">
        <v>5.5710306406686616E-3</v>
      </c>
      <c r="R187" s="10">
        <v>3.3240820103000002E-2</v>
      </c>
      <c r="S187" s="5">
        <v>4.5659548542369421E-3</v>
      </c>
      <c r="T187" s="5">
        <v>7.3750000000000005E-3</v>
      </c>
    </row>
    <row r="188" spans="1:20" x14ac:dyDescent="0.3">
      <c r="A188" s="3">
        <v>19933</v>
      </c>
      <c r="B188" s="4">
        <f t="shared" si="4"/>
        <v>1.6887298146504481E-2</v>
      </c>
      <c r="C188" s="4">
        <f t="shared" si="5"/>
        <v>1.7161405202860233E-2</v>
      </c>
      <c r="D188" s="5">
        <v>2.7278669949665522E-2</v>
      </c>
      <c r="E188" s="5">
        <v>2.7006212787988607E-2</v>
      </c>
      <c r="F188" s="5">
        <v>4.4473013313577232E-2</v>
      </c>
      <c r="G188" s="5">
        <v>0.61337579617834381</v>
      </c>
      <c r="H188" s="10">
        <v>1.3612060247650286E-3</v>
      </c>
      <c r="I188" s="5">
        <v>0.32235182146238445</v>
      </c>
      <c r="J188" s="5">
        <v>4.1840711897810884E-2</v>
      </c>
      <c r="K188" s="11">
        <v>2.9500000000000002E-2</v>
      </c>
      <c r="L188" s="11">
        <v>6.2700000000000006E-2</v>
      </c>
      <c r="M188" s="11">
        <v>6.386060446999986E-2</v>
      </c>
      <c r="N188" s="5">
        <v>3.3200000000000007E-2</v>
      </c>
      <c r="O188" s="5">
        <v>6.7999999999999866E-3</v>
      </c>
      <c r="P188" s="5">
        <v>-2.0405960369999976E-2</v>
      </c>
      <c r="Q188" s="5">
        <v>4.8476454293628901E-3</v>
      </c>
      <c r="R188" s="10">
        <v>3.3234791785000002E-2</v>
      </c>
      <c r="S188" s="5">
        <v>2.4836405202860234E-2</v>
      </c>
      <c r="T188" s="5">
        <v>7.6749999999999995E-3</v>
      </c>
    </row>
    <row r="189" spans="1:20" x14ac:dyDescent="0.3">
      <c r="A189" s="3">
        <v>19934</v>
      </c>
      <c r="B189" s="4">
        <f t="shared" si="4"/>
        <v>1.621499277250691E-2</v>
      </c>
      <c r="C189" s="4">
        <f t="shared" si="5"/>
        <v>1.646772958773126E-2</v>
      </c>
      <c r="D189" s="5">
        <v>2.6963232929574442E-2</v>
      </c>
      <c r="E189" s="5">
        <v>2.7235323415405265E-2</v>
      </c>
      <c r="F189" s="5">
        <v>4.6928931289527284E-2</v>
      </c>
      <c r="G189" s="5">
        <v>0.57455459113750562</v>
      </c>
      <c r="H189" s="10">
        <v>1.1602608483244556E-3</v>
      </c>
      <c r="I189" s="5">
        <v>0.30526722290900837</v>
      </c>
      <c r="J189" s="5">
        <v>4.5726871339500465E-2</v>
      </c>
      <c r="K189" s="11">
        <v>3.0600000000000002E-2</v>
      </c>
      <c r="L189" s="11">
        <v>6.54E-2</v>
      </c>
      <c r="M189" s="11">
        <v>-1.4581737280000007E-2</v>
      </c>
      <c r="N189" s="5">
        <v>3.4799999999999998E-2</v>
      </c>
      <c r="O189" s="5">
        <v>7.6000000000000095E-3</v>
      </c>
      <c r="P189" s="5">
        <v>7.3934248839999661E-3</v>
      </c>
      <c r="Q189" s="5">
        <v>4.8242591316334238E-3</v>
      </c>
      <c r="R189" s="10">
        <v>3.4152314449999999E-2</v>
      </c>
      <c r="S189" s="5">
        <v>2.3842729587731259E-2</v>
      </c>
      <c r="T189" s="5">
        <v>7.3750000000000005E-3</v>
      </c>
    </row>
    <row r="190" spans="1:20" x14ac:dyDescent="0.3">
      <c r="A190" s="3">
        <v>19941</v>
      </c>
      <c r="B190" s="4">
        <f t="shared" si="4"/>
        <v>-4.6703656176208516E-2</v>
      </c>
      <c r="C190" s="4">
        <f t="shared" si="5"/>
        <v>-4.5978890746961668E-2</v>
      </c>
      <c r="D190" s="5">
        <v>2.850573165533795E-2</v>
      </c>
      <c r="E190" s="5">
        <v>2.7201695423213594E-2</v>
      </c>
      <c r="F190" s="5">
        <v>5.0945554882562763E-2</v>
      </c>
      <c r="G190" s="5">
        <v>0.55953324526640236</v>
      </c>
      <c r="H190" s="10">
        <v>2.3416673263053156E-3</v>
      </c>
      <c r="I190" s="5">
        <v>0.30748380506932604</v>
      </c>
      <c r="J190" s="5">
        <v>4.1905086485379127E-2</v>
      </c>
      <c r="K190" s="11">
        <v>3.5000000000000003E-2</v>
      </c>
      <c r="L190" s="11">
        <v>7.2499999999999995E-2</v>
      </c>
      <c r="M190" s="11">
        <v>-5.9148468249999975E-2</v>
      </c>
      <c r="N190" s="5">
        <v>3.7499999999999992E-2</v>
      </c>
      <c r="O190" s="5">
        <v>6.5000000000000058E-3</v>
      </c>
      <c r="P190" s="5">
        <v>1.2214594925999966E-2</v>
      </c>
      <c r="Q190" s="5">
        <v>9.6021947873798918E-3</v>
      </c>
      <c r="R190" s="10">
        <v>3.4200763207000003E-2</v>
      </c>
      <c r="S190" s="5">
        <v>-3.8328890746961664E-2</v>
      </c>
      <c r="T190" s="5">
        <v>7.6500000000000005E-3</v>
      </c>
    </row>
    <row r="191" spans="1:20" x14ac:dyDescent="0.3">
      <c r="A191" s="3">
        <v>19942</v>
      </c>
      <c r="B191" s="4">
        <f t="shared" si="4"/>
        <v>-4.8726816181764911E-3</v>
      </c>
      <c r="C191" s="4">
        <f t="shared" si="5"/>
        <v>-4.9033616206010863E-3</v>
      </c>
      <c r="D191" s="5">
        <v>2.8890089360073829E-2</v>
      </c>
      <c r="E191" s="5">
        <v>2.8115484874372959E-2</v>
      </c>
      <c r="F191" s="5">
        <v>5.6722263488419203E-2</v>
      </c>
      <c r="G191" s="5">
        <v>0.50932539682539679</v>
      </c>
      <c r="H191" s="10">
        <v>2.9213035976521297E-3</v>
      </c>
      <c r="I191" s="5">
        <v>0.30841707670307816</v>
      </c>
      <c r="J191" s="5">
        <v>3.3996564291975749E-2</v>
      </c>
      <c r="K191" s="11">
        <v>4.1399999999999999E-2</v>
      </c>
      <c r="L191" s="11">
        <v>7.7399999999999997E-2</v>
      </c>
      <c r="M191" s="11">
        <v>-3.2846229999999976E-2</v>
      </c>
      <c r="N191" s="5">
        <v>3.5999999999999997E-2</v>
      </c>
      <c r="O191" s="5">
        <v>6.8000000000000144E-3</v>
      </c>
      <c r="P191" s="5">
        <v>9.0346728659999043E-3</v>
      </c>
      <c r="Q191" s="5">
        <v>5.4347826086957873E-3</v>
      </c>
      <c r="R191" s="10">
        <v>3.4416591783000001E-2</v>
      </c>
      <c r="S191" s="5">
        <v>3.8466383793989145E-3</v>
      </c>
      <c r="T191" s="5">
        <v>8.7500000000000008E-3</v>
      </c>
    </row>
    <row r="192" spans="1:20" x14ac:dyDescent="0.3">
      <c r="A192" s="3">
        <v>19943</v>
      </c>
      <c r="B192" s="4">
        <f t="shared" si="4"/>
        <v>3.817156941143908E-2</v>
      </c>
      <c r="C192" s="4">
        <f t="shared" si="5"/>
        <v>3.9312175612392503E-2</v>
      </c>
      <c r="D192" s="5">
        <v>2.7928940373019819E-2</v>
      </c>
      <c r="E192" s="5">
        <v>2.717770767613039E-2</v>
      </c>
      <c r="F192" s="5">
        <v>5.9065073155972432E-2</v>
      </c>
      <c r="G192" s="5">
        <v>0.47285034760336625</v>
      </c>
      <c r="H192" s="10">
        <v>1.6895630961651466E-3</v>
      </c>
      <c r="I192" s="5">
        <v>0.29090465859885267</v>
      </c>
      <c r="J192" s="5">
        <v>2.9004251001063068E-2</v>
      </c>
      <c r="K192" s="11">
        <v>4.6199999999999998E-2</v>
      </c>
      <c r="L192" s="11">
        <v>0.08</v>
      </c>
      <c r="M192" s="11">
        <v>-6.6187168420001052E-3</v>
      </c>
      <c r="N192" s="5">
        <v>3.3800000000000004E-2</v>
      </c>
      <c r="O192" s="5">
        <v>6.4000000000000029E-3</v>
      </c>
      <c r="P192" s="5">
        <v>7.0887652770000864E-3</v>
      </c>
      <c r="Q192" s="5">
        <v>9.4594594594594739E-3</v>
      </c>
      <c r="R192" s="10">
        <v>3.4678358298999998E-2</v>
      </c>
      <c r="S192" s="5">
        <v>4.9662175612392501E-2</v>
      </c>
      <c r="T192" s="5">
        <v>1.035E-2</v>
      </c>
    </row>
    <row r="193" spans="1:20" x14ac:dyDescent="0.3">
      <c r="A193" s="3">
        <v>19944</v>
      </c>
      <c r="B193" s="4">
        <f t="shared" si="4"/>
        <v>-1.1190893064775565E-2</v>
      </c>
      <c r="C193" s="4">
        <f t="shared" si="5"/>
        <v>-1.1257042219738495E-2</v>
      </c>
      <c r="D193" s="5">
        <v>2.8675942256189173E-2</v>
      </c>
      <c r="E193" s="5">
        <v>2.9028631885207965E-2</v>
      </c>
      <c r="F193" s="5">
        <v>6.6627474034881451E-2</v>
      </c>
      <c r="G193" s="5">
        <v>0.43039215686274512</v>
      </c>
      <c r="H193" s="10">
        <v>2.6997501234885392E-3</v>
      </c>
      <c r="I193" s="5">
        <v>0.29156830000676021</v>
      </c>
      <c r="J193" s="5">
        <v>1.6596291904089715E-2</v>
      </c>
      <c r="K193" s="11">
        <v>5.5999999999999994E-2</v>
      </c>
      <c r="L193" s="11">
        <v>7.9899999999999999E-2</v>
      </c>
      <c r="M193" s="11">
        <v>2.0249244349999973E-2</v>
      </c>
      <c r="N193" s="5">
        <v>2.3900000000000005E-2</v>
      </c>
      <c r="O193" s="5">
        <v>6.399999999999989E-3</v>
      </c>
      <c r="P193" s="5">
        <v>-7.8086256499998452E-3</v>
      </c>
      <c r="Q193" s="5">
        <v>2.0080321285138591E-3</v>
      </c>
      <c r="R193" s="10">
        <v>3.5685911133999999E-2</v>
      </c>
      <c r="S193" s="5">
        <v>2.9295778026150465E-4</v>
      </c>
      <c r="T193" s="5">
        <v>1.155E-2</v>
      </c>
    </row>
    <row r="194" spans="1:20" x14ac:dyDescent="0.3">
      <c r="A194" s="3">
        <v>19951</v>
      </c>
      <c r="B194" s="4">
        <f t="shared" si="4"/>
        <v>7.9153987897046502E-2</v>
      </c>
      <c r="C194" s="4">
        <f t="shared" si="5"/>
        <v>8.352417500723798E-2</v>
      </c>
      <c r="D194" s="5">
        <v>2.6302650236663935E-2</v>
      </c>
      <c r="E194" s="5">
        <v>2.702148177024559E-2</v>
      </c>
      <c r="F194" s="5">
        <v>6.5007689081504269E-2</v>
      </c>
      <c r="G194" s="5">
        <v>0.40460829493087547</v>
      </c>
      <c r="H194" s="10">
        <v>1.2460965027776927E-3</v>
      </c>
      <c r="I194" s="5">
        <v>0.3138765418776539</v>
      </c>
      <c r="J194" s="5">
        <v>1.4390439064971741E-2</v>
      </c>
      <c r="K194" s="11">
        <v>5.7300000000000004E-2</v>
      </c>
      <c r="L194" s="11">
        <v>7.5499999999999998E-2</v>
      </c>
      <c r="M194" s="11">
        <v>6.6400239941000194E-2</v>
      </c>
      <c r="N194" s="5">
        <v>1.8199999999999994E-2</v>
      </c>
      <c r="O194" s="5">
        <v>5.7999999999999996E-3</v>
      </c>
      <c r="P194" s="5">
        <v>-1.1356214610001025E-3</v>
      </c>
      <c r="Q194" s="5">
        <v>1.1356045424181893E-2</v>
      </c>
      <c r="R194" s="10">
        <v>3.6613445754000003E-2</v>
      </c>
      <c r="S194" s="5">
        <v>9.7524175007237979E-2</v>
      </c>
      <c r="T194" s="5">
        <v>1.3999999999999999E-2</v>
      </c>
    </row>
    <row r="195" spans="1:20" x14ac:dyDescent="0.3">
      <c r="A195" s="3">
        <v>19952</v>
      </c>
      <c r="B195" s="4">
        <f t="shared" ref="B195:B258" si="6">LN(1+S195) - LN(1+T195)</f>
        <v>7.7652809180763949E-2</v>
      </c>
      <c r="C195" s="4">
        <f t="shared" ref="C195:C258" si="7">S195-T195</f>
        <v>8.1904074007080802E-2</v>
      </c>
      <c r="D195" s="5">
        <v>2.4526847177604408E-2</v>
      </c>
      <c r="E195" s="5">
        <v>2.5048743907011627E-2</v>
      </c>
      <c r="F195" s="5">
        <v>6.320330426801285E-2</v>
      </c>
      <c r="G195" s="5">
        <v>0.38806273598605867</v>
      </c>
      <c r="H195" s="10">
        <v>1.9651267626642015E-3</v>
      </c>
      <c r="I195" s="5">
        <v>0.28642961789533944</v>
      </c>
      <c r="J195" s="5">
        <v>8.275796965371297E-3</v>
      </c>
      <c r="K195" s="11">
        <v>5.4699999999999999E-2</v>
      </c>
      <c r="L195" s="11">
        <v>6.7000000000000004E-2</v>
      </c>
      <c r="M195" s="11">
        <v>0.11248666788999984</v>
      </c>
      <c r="N195" s="5">
        <v>1.2300000000000005E-2</v>
      </c>
      <c r="O195" s="5">
        <v>6.0000000000000053E-3</v>
      </c>
      <c r="P195" s="5">
        <v>-2.2236954314999835E-2</v>
      </c>
      <c r="Q195" s="5">
        <v>7.2655217965653662E-3</v>
      </c>
      <c r="R195" s="10">
        <v>3.653965109E-2</v>
      </c>
      <c r="S195" s="5">
        <v>9.6229074007080806E-2</v>
      </c>
      <c r="T195" s="5">
        <v>1.4325000000000001E-2</v>
      </c>
    </row>
    <row r="196" spans="1:20" x14ac:dyDescent="0.3">
      <c r="A196" s="3">
        <v>19953</v>
      </c>
      <c r="B196" s="4">
        <f t="shared" si="6"/>
        <v>6.4012543776197459E-2</v>
      </c>
      <c r="C196" s="4">
        <f t="shared" si="7"/>
        <v>6.7009768097419431E-2</v>
      </c>
      <c r="D196" s="5">
        <v>2.3228555295083931E-2</v>
      </c>
      <c r="E196" s="5">
        <v>2.4159962981419519E-2</v>
      </c>
      <c r="F196" s="5">
        <v>6.0197464109101491E-2</v>
      </c>
      <c r="G196" s="5">
        <v>0.38587265491756678</v>
      </c>
      <c r="H196" s="10">
        <v>1.3614110758309217E-3</v>
      </c>
      <c r="I196" s="5">
        <v>0.27249499759269041</v>
      </c>
      <c r="J196" s="5">
        <v>6.3801687668260361E-3</v>
      </c>
      <c r="K196" s="11">
        <v>5.28E-2</v>
      </c>
      <c r="L196" s="11">
        <v>6.6299999999999998E-2</v>
      </c>
      <c r="M196" s="11">
        <v>2.401558160000028E-2</v>
      </c>
      <c r="N196" s="5">
        <v>1.3499999999999998E-2</v>
      </c>
      <c r="O196" s="5">
        <v>6.0999999999999943E-3</v>
      </c>
      <c r="P196" s="5">
        <v>2.5378614579998349E-3</v>
      </c>
      <c r="Q196" s="5">
        <v>4.590163934426128E-3</v>
      </c>
      <c r="R196" s="10">
        <v>3.6353062094999999E-2</v>
      </c>
      <c r="S196" s="5">
        <v>8.0684768097419424E-2</v>
      </c>
      <c r="T196" s="5">
        <v>1.3675E-2</v>
      </c>
    </row>
    <row r="197" spans="1:20" x14ac:dyDescent="0.3">
      <c r="A197" s="3">
        <v>19954</v>
      </c>
      <c r="B197" s="4">
        <f t="shared" si="6"/>
        <v>4.4158523247066213E-2</v>
      </c>
      <c r="C197" s="4">
        <f t="shared" si="7"/>
        <v>4.5743975905766385E-2</v>
      </c>
      <c r="D197" s="5">
        <v>2.238566070819736E-2</v>
      </c>
      <c r="E197" s="5">
        <v>2.277615342682987E-2</v>
      </c>
      <c r="F197" s="5">
        <v>5.5136135599824658E-2</v>
      </c>
      <c r="G197" s="5">
        <v>0.40600706713780915</v>
      </c>
      <c r="H197" s="10">
        <v>1.8545164627402388E-3</v>
      </c>
      <c r="I197" s="5">
        <v>0.25502638293953511</v>
      </c>
      <c r="J197" s="5">
        <v>1.5526517530730723E-2</v>
      </c>
      <c r="K197" s="11">
        <v>5.1399999999999994E-2</v>
      </c>
      <c r="L197" s="11">
        <v>6.0299999999999999E-2</v>
      </c>
      <c r="M197" s="11">
        <v>8.3728932031999825E-2</v>
      </c>
      <c r="N197" s="5">
        <v>8.9000000000000051E-3</v>
      </c>
      <c r="O197" s="5">
        <v>6.7000000000000115E-3</v>
      </c>
      <c r="P197" s="5">
        <v>-1.6797464471999923E-2</v>
      </c>
      <c r="Q197" s="5">
        <v>1.958224543080922E-3</v>
      </c>
      <c r="R197" s="10">
        <v>3.6641907612000001E-2</v>
      </c>
      <c r="S197" s="5">
        <v>5.8943975905766388E-2</v>
      </c>
      <c r="T197" s="5">
        <v>1.32E-2</v>
      </c>
    </row>
    <row r="198" spans="1:20" x14ac:dyDescent="0.3">
      <c r="A198" s="3">
        <v>19961</v>
      </c>
      <c r="B198" s="4">
        <f t="shared" si="6"/>
        <v>4.1075789999496452E-2</v>
      </c>
      <c r="C198" s="4">
        <f t="shared" si="7"/>
        <v>4.2469884764406302E-2</v>
      </c>
      <c r="D198" s="5">
        <v>2.1849728892331523E-2</v>
      </c>
      <c r="E198" s="5">
        <v>2.2022703496088567E-2</v>
      </c>
      <c r="F198" s="5">
        <v>5.2734314484895427E-2</v>
      </c>
      <c r="G198" s="5">
        <v>0.41433607520564042</v>
      </c>
      <c r="H198" s="10">
        <v>4.39330216470159E-3</v>
      </c>
      <c r="I198" s="5">
        <v>0.23929961540850445</v>
      </c>
      <c r="J198" s="5">
        <v>1.6891911575242943E-2</v>
      </c>
      <c r="K198" s="11">
        <v>4.9599999999999998E-2</v>
      </c>
      <c r="L198" s="11">
        <v>6.8400000000000002E-2</v>
      </c>
      <c r="M198" s="11">
        <v>-6.9310585730000041E-2</v>
      </c>
      <c r="N198" s="5">
        <v>1.8800000000000004E-2</v>
      </c>
      <c r="O198" s="5">
        <v>6.8000000000000005E-3</v>
      </c>
      <c r="P198" s="5">
        <v>2.0825744590000084E-2</v>
      </c>
      <c r="Q198" s="5">
        <v>1.433224755700313E-2</v>
      </c>
      <c r="R198" s="10">
        <v>3.7138228648000003E-2</v>
      </c>
      <c r="S198" s="5">
        <v>5.5319884764406302E-2</v>
      </c>
      <c r="T198" s="5">
        <v>1.2849999999999999E-2</v>
      </c>
    </row>
    <row r="199" spans="1:20" x14ac:dyDescent="0.3">
      <c r="A199" s="3">
        <v>19962</v>
      </c>
      <c r="B199" s="4">
        <f t="shared" si="6"/>
        <v>3.1758704756370215E-2</v>
      </c>
      <c r="C199" s="4">
        <f t="shared" si="7"/>
        <v>3.2668521881139077E-2</v>
      </c>
      <c r="D199" s="5">
        <v>2.1282972727137171E-2</v>
      </c>
      <c r="E199" s="5">
        <v>2.1331001912960307E-2</v>
      </c>
      <c r="F199" s="5">
        <v>5.2055529874893765E-2</v>
      </c>
      <c r="G199" s="5">
        <v>0.40885133199656254</v>
      </c>
      <c r="H199" s="10">
        <v>2.5019325504252667E-3</v>
      </c>
      <c r="I199" s="5">
        <v>0.23644372524397833</v>
      </c>
      <c r="J199" s="5">
        <v>2.7216174233279659E-2</v>
      </c>
      <c r="K199" s="11">
        <v>5.0900000000000001E-2</v>
      </c>
      <c r="L199" s="11">
        <v>7.0300000000000001E-2</v>
      </c>
      <c r="M199" s="11">
        <v>-1.9536612699999623E-3</v>
      </c>
      <c r="N199" s="5">
        <v>1.9400000000000001E-2</v>
      </c>
      <c r="O199" s="5">
        <v>6.9000000000000034E-3</v>
      </c>
      <c r="P199" s="5">
        <v>3.3789236699999226E-3</v>
      </c>
      <c r="Q199" s="5">
        <v>6.4226075786768533E-3</v>
      </c>
      <c r="R199" s="10">
        <v>3.7670030515000001E-2</v>
      </c>
      <c r="S199" s="5">
        <v>4.5068521881139079E-2</v>
      </c>
      <c r="T199" s="5">
        <v>1.24E-2</v>
      </c>
    </row>
    <row r="200" spans="1:20" x14ac:dyDescent="0.3">
      <c r="A200" s="3">
        <v>19963</v>
      </c>
      <c r="B200" s="4">
        <f t="shared" si="6"/>
        <v>1.8106787893084366E-2</v>
      </c>
      <c r="C200" s="4">
        <f t="shared" si="7"/>
        <v>1.850421718006233E-2</v>
      </c>
      <c r="D200" s="5">
        <v>2.1335350860601478E-2</v>
      </c>
      <c r="E200" s="5">
        <v>2.2491142502185618E-2</v>
      </c>
      <c r="F200" s="5">
        <v>5.2378111769070729E-2</v>
      </c>
      <c r="G200" s="5">
        <v>0.40733333333333338</v>
      </c>
      <c r="H200" s="10">
        <v>4.1629121485594099E-3</v>
      </c>
      <c r="I200" s="5">
        <v>0.22729731810082116</v>
      </c>
      <c r="J200" s="5">
        <v>2.9580736477171136E-2</v>
      </c>
      <c r="K200" s="11">
        <v>5.0900000000000001E-2</v>
      </c>
      <c r="L200" s="11">
        <v>7.0400000000000004E-2</v>
      </c>
      <c r="M200" s="11">
        <v>1.6523354419999858E-2</v>
      </c>
      <c r="N200" s="5">
        <v>1.9500000000000003E-2</v>
      </c>
      <c r="O200" s="5">
        <v>6.8999999999999895E-3</v>
      </c>
      <c r="P200" s="5">
        <v>3.2140642800000396E-3</v>
      </c>
      <c r="Q200" s="5">
        <v>7.0197830248883708E-3</v>
      </c>
      <c r="R200" s="10">
        <v>3.8369139870999998E-2</v>
      </c>
      <c r="S200" s="5">
        <v>3.122921718006233E-2</v>
      </c>
      <c r="T200" s="5">
        <v>1.2725E-2</v>
      </c>
    </row>
    <row r="201" spans="1:20" x14ac:dyDescent="0.3">
      <c r="A201" s="3">
        <v>19964</v>
      </c>
      <c r="B201" s="4">
        <f t="shared" si="6"/>
        <v>6.7464127646637381E-2</v>
      </c>
      <c r="C201" s="4">
        <f t="shared" si="7"/>
        <v>7.0679984667755588E-2</v>
      </c>
      <c r="D201" s="5">
        <v>2.0113670113670112E-2</v>
      </c>
      <c r="E201" s="5">
        <v>1.9681118068214841E-2</v>
      </c>
      <c r="F201" s="5">
        <v>5.2285552285552289E-2</v>
      </c>
      <c r="G201" s="5">
        <v>0.38468887167570354</v>
      </c>
      <c r="H201" s="10">
        <v>3.0194650163839426E-3</v>
      </c>
      <c r="I201" s="5">
        <v>0.20734272969549994</v>
      </c>
      <c r="J201" s="5">
        <v>2.412568647503003E-2</v>
      </c>
      <c r="K201" s="11">
        <v>4.9100000000000005E-2</v>
      </c>
      <c r="L201" s="11">
        <v>6.7299999999999999E-2</v>
      </c>
      <c r="M201" s="11">
        <v>4.9348938175999946E-2</v>
      </c>
      <c r="N201" s="5">
        <v>1.8199999999999994E-2</v>
      </c>
      <c r="O201" s="5">
        <v>6.8999999999999895E-3</v>
      </c>
      <c r="P201" s="5">
        <v>-5.7778075740000379E-3</v>
      </c>
      <c r="Q201" s="5">
        <v>5.069708491761693E-3</v>
      </c>
      <c r="R201" s="10">
        <v>3.8823961661000002E-2</v>
      </c>
      <c r="S201" s="5">
        <v>8.3404984667755588E-2</v>
      </c>
      <c r="T201" s="5">
        <v>1.2725E-2</v>
      </c>
    </row>
    <row r="202" spans="1:20" x14ac:dyDescent="0.3">
      <c r="A202" s="3">
        <v>19971</v>
      </c>
      <c r="B202" s="4">
        <f t="shared" si="6"/>
        <v>1.3872298187388662E-2</v>
      </c>
      <c r="C202" s="4">
        <f t="shared" si="7"/>
        <v>1.4140434040922169E-2</v>
      </c>
      <c r="D202" s="5">
        <v>1.9889845731191885E-2</v>
      </c>
      <c r="E202" s="5">
        <v>1.9042259932728053E-2</v>
      </c>
      <c r="F202" s="5">
        <v>5.3148774302620459E-2</v>
      </c>
      <c r="G202" s="5">
        <v>0.37422962226640155</v>
      </c>
      <c r="H202" s="10">
        <v>4.8363351036852338E-3</v>
      </c>
      <c r="I202" s="5">
        <v>0.2147802022701851</v>
      </c>
      <c r="J202" s="5">
        <v>2.1148544305308756E-2</v>
      </c>
      <c r="K202" s="11">
        <v>5.1399999999999994E-2</v>
      </c>
      <c r="L202" s="11">
        <v>7.2300000000000003E-2</v>
      </c>
      <c r="M202" s="11">
        <v>-3.2417370460000039E-2</v>
      </c>
      <c r="N202" s="5">
        <v>2.0900000000000009E-2</v>
      </c>
      <c r="O202" s="5">
        <v>6.3E-3</v>
      </c>
      <c r="P202" s="5">
        <v>1.0309703723999974E-2</v>
      </c>
      <c r="Q202" s="5">
        <v>8.8272383354350836E-3</v>
      </c>
      <c r="R202" s="10">
        <v>3.9183746818E-2</v>
      </c>
      <c r="S202" s="5">
        <v>2.641543404092217E-2</v>
      </c>
      <c r="T202" s="5">
        <v>1.2275000000000001E-2</v>
      </c>
    </row>
    <row r="203" spans="1:20" x14ac:dyDescent="0.3">
      <c r="A203" s="3">
        <v>19972</v>
      </c>
      <c r="B203" s="4">
        <f t="shared" si="6"/>
        <v>0.14850710317029248</v>
      </c>
      <c r="C203" s="4">
        <f t="shared" si="7"/>
        <v>0.16215833648049507</v>
      </c>
      <c r="D203" s="5">
        <v>1.7128363874641301E-2</v>
      </c>
      <c r="E203" s="5">
        <v>1.7872636393643612E-2</v>
      </c>
      <c r="F203" s="5">
        <v>4.5811961949522105E-2</v>
      </c>
      <c r="G203" s="5">
        <v>0.37388409371146736</v>
      </c>
      <c r="H203" s="10">
        <v>6.9869999732790457E-3</v>
      </c>
      <c r="I203" s="5">
        <v>0.18428761503037272</v>
      </c>
      <c r="J203" s="5">
        <v>1.0846707123569102E-2</v>
      </c>
      <c r="K203" s="11">
        <v>4.9299999999999997E-2</v>
      </c>
      <c r="L203" s="11">
        <v>6.88E-2</v>
      </c>
      <c r="M203" s="11">
        <v>5.5638573325000218E-2</v>
      </c>
      <c r="N203" s="5">
        <v>1.9500000000000003E-2</v>
      </c>
      <c r="O203" s="5">
        <v>6.0999999999999943E-3</v>
      </c>
      <c r="P203" s="5">
        <v>-4.9152091010005172E-3</v>
      </c>
      <c r="Q203" s="5">
        <v>1.8750000000000711E-3</v>
      </c>
      <c r="R203" s="10">
        <v>3.9437666213000003E-2</v>
      </c>
      <c r="S203" s="5">
        <v>0.17500833648049507</v>
      </c>
      <c r="T203" s="5">
        <v>1.2849999999999999E-2</v>
      </c>
    </row>
    <row r="204" spans="1:20" x14ac:dyDescent="0.3">
      <c r="A204" s="3">
        <v>19973</v>
      </c>
      <c r="B204" s="4">
        <f t="shared" si="6"/>
        <v>6.1010958388181526E-2</v>
      </c>
      <c r="C204" s="4">
        <f t="shared" si="7"/>
        <v>6.3685934585454268E-2</v>
      </c>
      <c r="D204" s="5">
        <v>1.618634405877882E-2</v>
      </c>
      <c r="E204" s="5">
        <v>1.7046705281999402E-2</v>
      </c>
      <c r="F204" s="5">
        <v>4.2901781944092554E-2</v>
      </c>
      <c r="G204" s="5">
        <v>0.37728838582677177</v>
      </c>
      <c r="H204" s="10">
        <v>7.1014310747303947E-3</v>
      </c>
      <c r="I204" s="5">
        <v>0.17796785704812584</v>
      </c>
      <c r="J204" s="5">
        <v>1.4634265613778232E-2</v>
      </c>
      <c r="K204" s="11">
        <v>4.9500000000000002E-2</v>
      </c>
      <c r="L204" s="11">
        <v>6.4899999999999999E-2</v>
      </c>
      <c r="M204" s="11">
        <v>6.1429312328000085E-2</v>
      </c>
      <c r="N204" s="5">
        <v>1.5399999999999997E-2</v>
      </c>
      <c r="O204" s="5">
        <v>5.499999999999991E-3</v>
      </c>
      <c r="P204" s="5">
        <v>-1.0674271048000117E-2</v>
      </c>
      <c r="Q204" s="5">
        <v>5.6144728633811258E-3</v>
      </c>
      <c r="R204" s="10">
        <v>4.0587066459000003E-2</v>
      </c>
      <c r="S204" s="5">
        <v>7.6010934585454271E-2</v>
      </c>
      <c r="T204" s="5">
        <v>1.2324999999999999E-2</v>
      </c>
    </row>
    <row r="205" spans="1:20" x14ac:dyDescent="0.3">
      <c r="A205" s="3">
        <v>19974</v>
      </c>
      <c r="B205" s="4">
        <f t="shared" si="6"/>
        <v>1.683440863635266E-2</v>
      </c>
      <c r="C205" s="4">
        <f t="shared" si="7"/>
        <v>1.7186994997973073E-2</v>
      </c>
      <c r="D205" s="5">
        <v>1.5969209525674186E-2</v>
      </c>
      <c r="E205" s="5">
        <v>1.6220431232991418E-2</v>
      </c>
      <c r="F205" s="5">
        <v>4.0930309244355596E-2</v>
      </c>
      <c r="G205" s="5">
        <v>0.39015609264853979</v>
      </c>
      <c r="H205" s="10">
        <v>1.4275305861728827E-2</v>
      </c>
      <c r="I205" s="5">
        <v>0.17880088420405879</v>
      </c>
      <c r="J205" s="5">
        <v>1.5559471547242971E-2</v>
      </c>
      <c r="K205" s="11">
        <v>5.16E-2</v>
      </c>
      <c r="L205" s="11">
        <v>6.0199999999999997E-2</v>
      </c>
      <c r="M205" s="11">
        <v>6.8713726111999884E-2</v>
      </c>
      <c r="N205" s="5">
        <v>8.5999999999999965E-3</v>
      </c>
      <c r="O205" s="5">
        <v>5.6000000000000077E-3</v>
      </c>
      <c r="P205" s="5">
        <v>-2.2541711679000098E-2</v>
      </c>
      <c r="Q205" s="5">
        <v>6.2034739454097654E-4</v>
      </c>
      <c r="R205" s="10">
        <v>4.0219378733000001E-2</v>
      </c>
      <c r="S205" s="5">
        <v>2.9561994997973073E-2</v>
      </c>
      <c r="T205" s="5">
        <v>1.2375000000000001E-2</v>
      </c>
    </row>
    <row r="206" spans="1:20" x14ac:dyDescent="0.3">
      <c r="A206" s="3">
        <v>19981</v>
      </c>
      <c r="B206" s="4">
        <f t="shared" si="6"/>
        <v>0.11865189164461583</v>
      </c>
      <c r="C206" s="4">
        <f t="shared" si="7"/>
        <v>0.12760300249899262</v>
      </c>
      <c r="D206" s="5">
        <v>1.419650555933742E-2</v>
      </c>
      <c r="E206" s="5">
        <v>1.4905559685135421E-2</v>
      </c>
      <c r="F206" s="5">
        <v>3.5888359428182436E-2</v>
      </c>
      <c r="G206" s="5">
        <v>0.39557410217501271</v>
      </c>
      <c r="H206" s="10">
        <v>4.6589760104274302E-3</v>
      </c>
      <c r="I206" s="5">
        <v>0.18114039596566681</v>
      </c>
      <c r="J206" s="5">
        <v>1.6488861614738583E-2</v>
      </c>
      <c r="K206" s="11">
        <v>5.0300000000000004E-2</v>
      </c>
      <c r="L206" s="11">
        <v>6.0199999999999997E-2</v>
      </c>
      <c r="M206" s="11">
        <v>1.5187639999999947E-2</v>
      </c>
      <c r="N206" s="5">
        <v>9.8999999999999921E-3</v>
      </c>
      <c r="O206" s="5">
        <v>6.0000000000000053E-3</v>
      </c>
      <c r="P206" s="5">
        <v>1.6521335579999796E-3</v>
      </c>
      <c r="Q206" s="5">
        <v>5.5796652200865715E-3</v>
      </c>
      <c r="R206" s="10">
        <v>4.0902208693E-2</v>
      </c>
      <c r="S206" s="5">
        <v>0.14050300249899261</v>
      </c>
      <c r="T206" s="5">
        <v>1.29E-2</v>
      </c>
    </row>
    <row r="207" spans="1:20" x14ac:dyDescent="0.3">
      <c r="A207" s="3">
        <v>19982</v>
      </c>
      <c r="B207" s="4">
        <f t="shared" si="6"/>
        <v>2.1036240249048981E-2</v>
      </c>
      <c r="C207" s="4">
        <f t="shared" si="7"/>
        <v>2.1526394349880462E-2</v>
      </c>
      <c r="D207" s="5">
        <v>1.4067240527764058E-2</v>
      </c>
      <c r="E207" s="5">
        <v>1.4622027465576356E-2</v>
      </c>
      <c r="F207" s="5">
        <v>3.4369928737740779E-2</v>
      </c>
      <c r="G207" s="5">
        <v>0.40928919681806519</v>
      </c>
      <c r="H207" s="10">
        <v>4.6709312164502203E-3</v>
      </c>
      <c r="I207" s="5">
        <v>0.17806060597750975</v>
      </c>
      <c r="J207" s="5">
        <v>2.4010580033164464E-2</v>
      </c>
      <c r="K207" s="11">
        <v>4.9800000000000004E-2</v>
      </c>
      <c r="L207" s="11">
        <v>5.7599999999999998E-2</v>
      </c>
      <c r="M207" s="11">
        <v>4.4122638895999877E-2</v>
      </c>
      <c r="N207" s="5">
        <v>7.7999999999999944E-3</v>
      </c>
      <c r="O207" s="5">
        <v>6.0000000000000053E-3</v>
      </c>
      <c r="P207" s="5">
        <v>-1.0280111030999795E-2</v>
      </c>
      <c r="Q207" s="5">
        <v>4.9321824907522238E-3</v>
      </c>
      <c r="R207" s="10">
        <v>4.1622689506000003E-2</v>
      </c>
      <c r="S207" s="5">
        <v>3.4101394349880465E-2</v>
      </c>
      <c r="T207" s="5">
        <v>1.2575000000000001E-2</v>
      </c>
    </row>
    <row r="208" spans="1:20" x14ac:dyDescent="0.3">
      <c r="A208" s="3">
        <v>19983</v>
      </c>
      <c r="B208" s="4">
        <f t="shared" si="6"/>
        <v>-0.11573498582449529</v>
      </c>
      <c r="C208" s="4">
        <f t="shared" si="7"/>
        <v>-0.11064940189556143</v>
      </c>
      <c r="D208" s="5">
        <v>1.5873000265484116E-2</v>
      </c>
      <c r="E208" s="5">
        <v>1.6863404646498412E-2</v>
      </c>
      <c r="F208" s="5">
        <v>3.7452925733276958E-2</v>
      </c>
      <c r="G208" s="5">
        <v>0.42381202415332114</v>
      </c>
      <c r="H208" s="10">
        <v>2.1533109619729342E-2</v>
      </c>
      <c r="I208" s="5">
        <v>0.20324840423225912</v>
      </c>
      <c r="J208" s="5">
        <v>2.4082910029888101E-2</v>
      </c>
      <c r="K208" s="11">
        <v>4.6100000000000002E-2</v>
      </c>
      <c r="L208" s="11">
        <v>5.1700000000000003E-2</v>
      </c>
      <c r="M208" s="11">
        <v>8.3485403000000069E-2</v>
      </c>
      <c r="N208" s="5">
        <v>5.6000000000000008E-3</v>
      </c>
      <c r="O208" s="5">
        <v>6.9000000000000034E-3</v>
      </c>
      <c r="P208" s="5">
        <v>-3.8801011392000095E-2</v>
      </c>
      <c r="Q208" s="5">
        <v>3.6809815950920033E-3</v>
      </c>
      <c r="R208" s="10">
        <v>4.1589443354999998E-2</v>
      </c>
      <c r="S208" s="5">
        <v>-9.8199401895561422E-2</v>
      </c>
      <c r="T208" s="5">
        <v>1.2450000000000001E-2</v>
      </c>
    </row>
    <row r="209" spans="1:20" x14ac:dyDescent="0.3">
      <c r="A209" s="3">
        <v>19984</v>
      </c>
      <c r="B209" s="4">
        <f t="shared" si="6"/>
        <v>0.18387342701806592</v>
      </c>
      <c r="C209" s="4">
        <f t="shared" si="7"/>
        <v>0.20419016902463349</v>
      </c>
      <c r="D209" s="5">
        <v>1.3174914377293102E-2</v>
      </c>
      <c r="E209" s="5">
        <v>1.3917654237171609E-2</v>
      </c>
      <c r="F209" s="5">
        <v>3.0677741350276188E-2</v>
      </c>
      <c r="G209" s="5">
        <v>0.4294616812516574</v>
      </c>
      <c r="H209" s="10">
        <v>1.0395103625074649E-2</v>
      </c>
      <c r="I209" s="5">
        <v>0.17361131536550134</v>
      </c>
      <c r="J209" s="5">
        <v>2.0057030440960393E-2</v>
      </c>
      <c r="K209" s="11">
        <v>4.3899999999999995E-2</v>
      </c>
      <c r="L209" s="11">
        <v>5.4199999999999998E-2</v>
      </c>
      <c r="M209" s="11">
        <v>-1.5472063327999996E-2</v>
      </c>
      <c r="N209" s="5">
        <v>1.0300000000000004E-2</v>
      </c>
      <c r="O209" s="5">
        <v>1.0100000000000005E-2</v>
      </c>
      <c r="P209" s="5">
        <v>2.3966550327999658E-2</v>
      </c>
      <c r="Q209" s="5">
        <v>1.8337408312958381E-3</v>
      </c>
      <c r="R209" s="10">
        <v>4.2103842066999998E-2</v>
      </c>
      <c r="S209" s="5">
        <v>0.2157151690246335</v>
      </c>
      <c r="T209" s="5">
        <v>1.1525000000000001E-2</v>
      </c>
    </row>
    <row r="210" spans="1:20" x14ac:dyDescent="0.3">
      <c r="A210" s="3">
        <v>19991</v>
      </c>
      <c r="B210" s="4">
        <f t="shared" si="6"/>
        <v>3.6776646307868394E-2</v>
      </c>
      <c r="C210" s="4">
        <f t="shared" si="7"/>
        <v>3.7872411636178119E-2</v>
      </c>
      <c r="D210" s="5">
        <v>1.2787145222603139E-2</v>
      </c>
      <c r="E210" s="5">
        <v>1.3283212067865592E-2</v>
      </c>
      <c r="F210" s="5">
        <v>2.9835894804760687E-2</v>
      </c>
      <c r="G210" s="5">
        <v>0.42858259510161534</v>
      </c>
      <c r="H210" s="10">
        <v>1.0031350675335796E-2</v>
      </c>
      <c r="I210" s="5">
        <v>0.17289717073498748</v>
      </c>
      <c r="J210" s="5">
        <v>2.0668119516674698E-2</v>
      </c>
      <c r="K210" s="11">
        <v>4.4400000000000002E-2</v>
      </c>
      <c r="L210" s="11">
        <v>5.9200000000000003E-2</v>
      </c>
      <c r="M210" s="11">
        <v>-4.1296776640000088E-2</v>
      </c>
      <c r="N210" s="5">
        <v>1.4800000000000001E-2</v>
      </c>
      <c r="O210" s="5">
        <v>9.1000000000000109E-3</v>
      </c>
      <c r="P210" s="5">
        <v>1.3197887994000013E-2</v>
      </c>
      <c r="Q210" s="5">
        <v>6.7114093959730337E-3</v>
      </c>
      <c r="R210" s="10">
        <v>4.2312978538999999E-2</v>
      </c>
      <c r="S210" s="5">
        <v>4.8847411636178117E-2</v>
      </c>
      <c r="T210" s="5">
        <v>1.0974999999999999E-2</v>
      </c>
    </row>
    <row r="211" spans="1:20" x14ac:dyDescent="0.3">
      <c r="A211" s="3">
        <v>19992</v>
      </c>
      <c r="B211" s="4">
        <f t="shared" si="6"/>
        <v>5.5401893526839177E-2</v>
      </c>
      <c r="C211" s="4">
        <f t="shared" si="7"/>
        <v>5.7597631863178012E-2</v>
      </c>
      <c r="D211" s="5">
        <v>1.1982137523584733E-2</v>
      </c>
      <c r="E211" s="5">
        <v>1.2634425121366682E-2</v>
      </c>
      <c r="F211" s="5">
        <v>2.9882495210204633E-2</v>
      </c>
      <c r="G211" s="5">
        <v>0.4009751340809361</v>
      </c>
      <c r="H211" s="10">
        <v>8.2215211903365806E-3</v>
      </c>
      <c r="I211" s="5">
        <v>0.15422744676724118</v>
      </c>
      <c r="J211" s="5">
        <v>1.8868575896700421E-2</v>
      </c>
      <c r="K211" s="11">
        <v>4.5700000000000005E-2</v>
      </c>
      <c r="L211" s="11">
        <v>6.2700000000000006E-2</v>
      </c>
      <c r="M211" s="11">
        <v>-2.4110626969999993E-2</v>
      </c>
      <c r="N211" s="5">
        <v>1.7000000000000001E-2</v>
      </c>
      <c r="O211" s="5">
        <v>7.8999999999999904E-3</v>
      </c>
      <c r="P211" s="5">
        <v>-1.1527808869999934E-2</v>
      </c>
      <c r="Q211" s="5">
        <v>7.2727272727270975E-3</v>
      </c>
      <c r="R211" s="10">
        <v>4.2696858705E-2</v>
      </c>
      <c r="S211" s="5">
        <v>6.869763186317801E-2</v>
      </c>
      <c r="T211" s="5">
        <v>1.11E-2</v>
      </c>
    </row>
    <row r="212" spans="1:20" x14ac:dyDescent="0.3">
      <c r="A212" s="3">
        <v>19993</v>
      </c>
      <c r="B212" s="4">
        <f t="shared" si="6"/>
        <v>-7.5543580380039665E-2</v>
      </c>
      <c r="C212" s="4">
        <f t="shared" si="7"/>
        <v>-7.3591970555089578E-2</v>
      </c>
      <c r="D212" s="5">
        <v>1.2973314311106954E-2</v>
      </c>
      <c r="E212" s="5">
        <v>1.2602903643565257E-2</v>
      </c>
      <c r="F212" s="5">
        <v>3.4271191461826916E-2</v>
      </c>
      <c r="G212" s="5">
        <v>0.37854868061874436</v>
      </c>
      <c r="H212" s="10">
        <v>7.0459695698464435E-3</v>
      </c>
      <c r="I212" s="5">
        <v>0.16368449822911238</v>
      </c>
      <c r="J212" s="5">
        <v>2.0379681664260366E-2</v>
      </c>
      <c r="K212" s="11">
        <v>4.6799999999999994E-2</v>
      </c>
      <c r="L212" s="11">
        <v>6.4600000000000005E-2</v>
      </c>
      <c r="M212" s="11">
        <v>-4.6680471960000025E-3</v>
      </c>
      <c r="N212" s="5">
        <v>1.780000000000001E-2</v>
      </c>
      <c r="O212" s="5">
        <v>8.0999999999999961E-3</v>
      </c>
      <c r="P212" s="5">
        <v>-3.1569569999945202E-5</v>
      </c>
      <c r="Q212" s="5">
        <v>1.0228640192539107E-2</v>
      </c>
      <c r="R212" s="10">
        <v>4.3155654289999998E-2</v>
      </c>
      <c r="S212" s="5">
        <v>-6.2166970555089573E-2</v>
      </c>
      <c r="T212" s="5">
        <v>1.1425000000000001E-2</v>
      </c>
    </row>
    <row r="213" spans="1:20" x14ac:dyDescent="0.3">
      <c r="A213" s="3">
        <v>19994</v>
      </c>
      <c r="B213" s="4">
        <f t="shared" si="6"/>
        <v>0.13193412298054782</v>
      </c>
      <c r="C213" s="4">
        <f t="shared" si="7"/>
        <v>0.14268323677077716</v>
      </c>
      <c r="D213" s="5">
        <v>1.1360898417559979E-2</v>
      </c>
      <c r="E213" s="5">
        <v>1.2018057325528651E-2</v>
      </c>
      <c r="F213" s="5">
        <v>3.2785434745618514E-2</v>
      </c>
      <c r="G213" s="5">
        <v>0.3465227319908657</v>
      </c>
      <c r="H213" s="10">
        <v>7.37901728788159E-3</v>
      </c>
      <c r="I213" s="5">
        <v>0.14716725943496201</v>
      </c>
      <c r="J213" s="5">
        <v>1.7888756885191551E-2</v>
      </c>
      <c r="K213" s="11">
        <v>5.2000000000000005E-2</v>
      </c>
      <c r="L213" s="11">
        <v>6.8199999999999997E-2</v>
      </c>
      <c r="M213" s="11">
        <v>-2.2679643459999954E-2</v>
      </c>
      <c r="N213" s="5">
        <v>1.6199999999999992E-2</v>
      </c>
      <c r="O213" s="5">
        <v>6.4000000000000029E-3</v>
      </c>
      <c r="P213" s="5">
        <v>1.4745018515999853E-2</v>
      </c>
      <c r="Q213" s="5">
        <v>2.3823704586063421E-3</v>
      </c>
      <c r="R213" s="10">
        <v>4.2574232449999999E-2</v>
      </c>
      <c r="S213" s="5">
        <v>0.15438323677077714</v>
      </c>
      <c r="T213" s="5">
        <v>1.1699999999999999E-2</v>
      </c>
    </row>
    <row r="214" spans="1:20" x14ac:dyDescent="0.3">
      <c r="A214" s="3">
        <v>20001</v>
      </c>
      <c r="B214" s="4">
        <f t="shared" si="6"/>
        <v>1.2502378939739628E-2</v>
      </c>
      <c r="C214" s="4">
        <f t="shared" si="7"/>
        <v>1.2744411591903437E-2</v>
      </c>
      <c r="D214" s="5">
        <v>1.1185255375088419E-2</v>
      </c>
      <c r="E214" s="5">
        <v>1.2267092109307534E-2</v>
      </c>
      <c r="F214" s="5">
        <v>3.399885224679363E-2</v>
      </c>
      <c r="G214" s="5">
        <v>0.32898920510304225</v>
      </c>
      <c r="H214" s="10">
        <v>1.4885081927536207E-2</v>
      </c>
      <c r="I214" s="5">
        <v>0.14997356178980206</v>
      </c>
      <c r="J214" s="5">
        <v>1.8291388928030072E-2</v>
      </c>
      <c r="K214" s="11">
        <v>5.6900000000000006E-2</v>
      </c>
      <c r="L214" s="11">
        <v>6.1800000000000001E-2</v>
      </c>
      <c r="M214" s="11">
        <v>8.8329650463999876E-2</v>
      </c>
      <c r="N214" s="5">
        <v>4.8999999999999946E-3</v>
      </c>
      <c r="O214" s="5">
        <v>6.9000000000000034E-3</v>
      </c>
      <c r="P214" s="5">
        <v>-6.4229306971999911E-2</v>
      </c>
      <c r="Q214" s="5">
        <v>1.7231134878193499E-2</v>
      </c>
      <c r="R214" s="10">
        <v>4.3372608157000003E-2</v>
      </c>
      <c r="S214" s="5">
        <v>2.5744411591903438E-2</v>
      </c>
      <c r="T214" s="5">
        <v>1.3000000000000001E-2</v>
      </c>
    </row>
    <row r="215" spans="1:20" x14ac:dyDescent="0.3">
      <c r="A215" s="3">
        <v>20002</v>
      </c>
      <c r="B215" s="4">
        <f t="shared" si="6"/>
        <v>-4.2892594837969207E-2</v>
      </c>
      <c r="C215" s="4">
        <f t="shared" si="7"/>
        <v>-4.2582966643404177E-2</v>
      </c>
      <c r="D215" s="5">
        <v>1.148356936614877E-2</v>
      </c>
      <c r="E215" s="5">
        <v>1.1758411938617487E-2</v>
      </c>
      <c r="F215" s="5">
        <v>3.5693661487694213E-2</v>
      </c>
      <c r="G215" s="5">
        <v>0.32172573189522341</v>
      </c>
      <c r="H215" s="10">
        <v>1.5486927495638592E-2</v>
      </c>
      <c r="I215" s="5">
        <v>0.15677796158526175</v>
      </c>
      <c r="J215" s="5">
        <v>7.1242105725142042E-3</v>
      </c>
      <c r="K215" s="11">
        <v>5.6900000000000006E-2</v>
      </c>
      <c r="L215" s="11">
        <v>6.2199999999999998E-2</v>
      </c>
      <c r="M215" s="11">
        <v>1.1124841376000116E-2</v>
      </c>
      <c r="N215" s="5">
        <v>5.2999999999999922E-3</v>
      </c>
      <c r="O215" s="5">
        <v>8.0999999999999961E-3</v>
      </c>
      <c r="P215" s="5">
        <v>-6.8334154860001384E-3</v>
      </c>
      <c r="Q215" s="5">
        <v>7.0093457943927184E-3</v>
      </c>
      <c r="R215" s="10">
        <v>4.3920215456E-2</v>
      </c>
      <c r="S215" s="5">
        <v>-2.8357966643404175E-2</v>
      </c>
      <c r="T215" s="5">
        <v>1.4225000000000002E-2</v>
      </c>
    </row>
    <row r="216" spans="1:20" x14ac:dyDescent="0.3">
      <c r="A216" s="3">
        <v>20003</v>
      </c>
      <c r="B216" s="4">
        <f t="shared" si="6"/>
        <v>-1.9782854608063408E-2</v>
      </c>
      <c r="C216" s="4">
        <f t="shared" si="7"/>
        <v>-1.9867103771699715E-2</v>
      </c>
      <c r="D216" s="5">
        <v>1.1379663211533509E-2</v>
      </c>
      <c r="E216" s="5">
        <v>1.0771045279637341E-2</v>
      </c>
      <c r="F216" s="5">
        <v>3.7382266743705227E-2</v>
      </c>
      <c r="G216" s="5">
        <v>0.30441340782122911</v>
      </c>
      <c r="H216" s="10">
        <v>4.7046810247122067E-3</v>
      </c>
      <c r="I216" s="5">
        <v>0.1537894628785958</v>
      </c>
      <c r="J216" s="5">
        <v>4.4689194265840008E-3</v>
      </c>
      <c r="K216" s="11">
        <v>0.06</v>
      </c>
      <c r="L216" s="11">
        <v>6.1199999999999997E-2</v>
      </c>
      <c r="M216" s="11">
        <v>2.5360271360000075E-2</v>
      </c>
      <c r="N216" s="5">
        <v>1.1999999999999997E-3</v>
      </c>
      <c r="O216" s="5">
        <v>7.2999999999999871E-3</v>
      </c>
      <c r="P216" s="5">
        <v>1.1026930229999898E-2</v>
      </c>
      <c r="Q216" s="5">
        <v>7.5406032482596697E-3</v>
      </c>
      <c r="R216" s="10">
        <v>4.3573454898999997E-2</v>
      </c>
      <c r="S216" s="5">
        <v>-5.6421037716997136E-3</v>
      </c>
      <c r="T216" s="5">
        <v>1.4225000000000002E-2</v>
      </c>
    </row>
    <row r="217" spans="1:20" x14ac:dyDescent="0.3">
      <c r="A217" s="3">
        <v>20004</v>
      </c>
      <c r="B217" s="4">
        <f t="shared" si="6"/>
        <v>-9.4814190291014067E-2</v>
      </c>
      <c r="C217" s="4">
        <f t="shared" si="7"/>
        <v>-9.181495070500488E-2</v>
      </c>
      <c r="D217" s="5">
        <v>1.232390099069894E-2</v>
      </c>
      <c r="E217" s="5">
        <v>1.2373854519183236E-2</v>
      </c>
      <c r="F217" s="5">
        <v>3.7870754688399434E-2</v>
      </c>
      <c r="G217" s="5">
        <v>0.32541999999999993</v>
      </c>
      <c r="H217" s="10">
        <v>1.4139871780673857E-2</v>
      </c>
      <c r="I217" s="5">
        <v>0.15185150364920535</v>
      </c>
      <c r="J217" s="5">
        <v>-2.2617468251434564E-3</v>
      </c>
      <c r="K217" s="11">
        <v>5.7699999999999994E-2</v>
      </c>
      <c r="L217" s="11">
        <v>5.5800000000000002E-2</v>
      </c>
      <c r="M217" s="11">
        <v>7.6740605678999874E-2</v>
      </c>
      <c r="N217" s="5">
        <v>-1.899999999999992E-3</v>
      </c>
      <c r="O217" s="5">
        <v>8.0999999999999961E-3</v>
      </c>
      <c r="P217" s="5">
        <v>-1.7987460228999996E-2</v>
      </c>
      <c r="Q217" s="5">
        <v>1.7271157167531026E-3</v>
      </c>
      <c r="R217" s="10">
        <v>4.2939726901000001E-2</v>
      </c>
      <c r="S217" s="5">
        <v>-7.6814950705004881E-2</v>
      </c>
      <c r="T217" s="5">
        <v>1.4999999999999999E-2</v>
      </c>
    </row>
    <row r="218" spans="1:20" x14ac:dyDescent="0.3">
      <c r="A218" s="3">
        <v>20011</v>
      </c>
      <c r="B218" s="4">
        <f t="shared" si="6"/>
        <v>-0.1436460124624459</v>
      </c>
      <c r="C218" s="4">
        <f t="shared" si="7"/>
        <v>-0.13573583120643837</v>
      </c>
      <c r="D218" s="5">
        <v>1.3765911421750709E-2</v>
      </c>
      <c r="E218" s="5">
        <v>1.2882074939109955E-2</v>
      </c>
      <c r="F218" s="5">
        <v>3.9161273086104821E-2</v>
      </c>
      <c r="G218" s="5">
        <v>0.3515184859154929</v>
      </c>
      <c r="H218" s="10">
        <v>1.4609022723626202E-2</v>
      </c>
      <c r="I218" s="5">
        <v>0.1331135514482312</v>
      </c>
      <c r="J218" s="5">
        <v>-5.2134481194394027E-3</v>
      </c>
      <c r="K218" s="11">
        <v>4.4199999999999996E-2</v>
      </c>
      <c r="L218" s="11">
        <v>5.5899999999999998E-2</v>
      </c>
      <c r="M218" s="11">
        <v>1.2064439329999788E-2</v>
      </c>
      <c r="N218" s="5">
        <v>1.1700000000000002E-2</v>
      </c>
      <c r="O218" s="5">
        <v>8.5999999999999965E-3</v>
      </c>
      <c r="P218" s="5">
        <v>3.3949228473000082E-2</v>
      </c>
      <c r="Q218" s="5">
        <v>1.264367816091938E-2</v>
      </c>
      <c r="R218" s="10">
        <v>4.1805126264999999E-2</v>
      </c>
      <c r="S218" s="5">
        <v>-0.12131083120643837</v>
      </c>
      <c r="T218" s="5">
        <v>1.4424999999999999E-2</v>
      </c>
    </row>
    <row r="219" spans="1:20" x14ac:dyDescent="0.3">
      <c r="A219" s="3">
        <v>20012</v>
      </c>
      <c r="B219" s="4">
        <f t="shared" si="6"/>
        <v>4.5980138614872282E-2</v>
      </c>
      <c r="C219" s="4">
        <f t="shared" si="7"/>
        <v>4.7573557259033901E-2</v>
      </c>
      <c r="D219" s="5">
        <v>1.2810963558256153E-2</v>
      </c>
      <c r="E219" s="5">
        <v>1.2490643563568028E-2</v>
      </c>
      <c r="F219" s="5">
        <v>3.0046879338788975E-2</v>
      </c>
      <c r="G219" s="5">
        <v>0.42636586028812179</v>
      </c>
      <c r="H219" s="10">
        <v>1.1470856838181175E-2</v>
      </c>
      <c r="I219" s="5">
        <v>0.12520943283134334</v>
      </c>
      <c r="J219" s="5">
        <v>5.0407601696276306E-3</v>
      </c>
      <c r="K219" s="11">
        <v>3.49E-2</v>
      </c>
      <c r="L219" s="11">
        <v>5.8999999999999997E-2</v>
      </c>
      <c r="M219" s="11">
        <v>-1.9451394385000098E-2</v>
      </c>
      <c r="N219" s="5">
        <v>2.4099999999999996E-2</v>
      </c>
      <c r="O219" s="5">
        <v>7.8999999999999904E-3</v>
      </c>
      <c r="P219" s="5">
        <v>2.518370510500012E-2</v>
      </c>
      <c r="Q219" s="5">
        <v>1.0215664018161208E-2</v>
      </c>
      <c r="R219" s="10">
        <v>4.0263291456000001E-2</v>
      </c>
      <c r="S219" s="5">
        <v>5.8623557259033898E-2</v>
      </c>
      <c r="T219" s="5">
        <v>1.1049999999999999E-2</v>
      </c>
    </row>
    <row r="220" spans="1:20" x14ac:dyDescent="0.3">
      <c r="A220" s="3">
        <v>20013</v>
      </c>
      <c r="B220" s="4">
        <f t="shared" si="6"/>
        <v>-0.16735826126969333</v>
      </c>
      <c r="C220" s="4">
        <f t="shared" si="7"/>
        <v>-0.1554480479042262</v>
      </c>
      <c r="D220" s="5">
        <v>1.5117105692931388E-2</v>
      </c>
      <c r="E220" s="5">
        <v>1.388168457453378E-2</v>
      </c>
      <c r="F220" s="5">
        <v>2.7196572328856607E-2</v>
      </c>
      <c r="G220" s="5">
        <v>0.55584599081596608</v>
      </c>
      <c r="H220" s="10">
        <v>1.228872832199495E-2</v>
      </c>
      <c r="I220" s="5">
        <v>0.14862858821556416</v>
      </c>
      <c r="J220" s="5">
        <v>8.6527388742818727E-3</v>
      </c>
      <c r="K220" s="11">
        <v>2.64E-2</v>
      </c>
      <c r="L220" s="11">
        <v>5.4199999999999998E-2</v>
      </c>
      <c r="M220" s="11">
        <v>6.7552253936000062E-2</v>
      </c>
      <c r="N220" s="5">
        <v>2.7799999999999998E-2</v>
      </c>
      <c r="O220" s="5">
        <v>8.5999999999999965E-3</v>
      </c>
      <c r="P220" s="5">
        <v>-3.1283493968000009E-2</v>
      </c>
      <c r="Q220" s="5">
        <v>1.6853932584270925E-3</v>
      </c>
      <c r="R220" s="10">
        <v>3.9189294835999998E-2</v>
      </c>
      <c r="S220" s="5">
        <v>-0.14672304790422619</v>
      </c>
      <c r="T220" s="5">
        <v>8.7250000000000001E-3</v>
      </c>
    </row>
    <row r="221" spans="1:20" x14ac:dyDescent="0.3">
      <c r="A221" s="3">
        <v>20014</v>
      </c>
      <c r="B221" s="4">
        <f t="shared" si="6"/>
        <v>9.7620776794354255E-2</v>
      </c>
      <c r="C221" s="4">
        <f t="shared" si="7"/>
        <v>0.10322138965321676</v>
      </c>
      <c r="D221" s="5">
        <v>1.3709846003762806E-2</v>
      </c>
      <c r="E221" s="5">
        <v>1.3813682039580499E-2</v>
      </c>
      <c r="F221" s="5">
        <v>2.1505470002090448E-2</v>
      </c>
      <c r="G221" s="5">
        <v>0.63750506277845276</v>
      </c>
      <c r="H221" s="10">
        <v>7.2370886433553413E-3</v>
      </c>
      <c r="I221" s="5">
        <v>0.13121784591378771</v>
      </c>
      <c r="J221" s="5">
        <v>1.3464826012758809E-2</v>
      </c>
      <c r="K221" s="11">
        <v>1.6899999999999998E-2</v>
      </c>
      <c r="L221" s="11">
        <v>5.7500000000000002E-2</v>
      </c>
      <c r="M221" s="11">
        <v>-2.1132636448000008E-2</v>
      </c>
      <c r="N221" s="5">
        <v>4.0600000000000004E-2</v>
      </c>
      <c r="O221" s="5">
        <v>1.2800000000000006E-2</v>
      </c>
      <c r="P221" s="5">
        <v>3.5994370488000138E-2</v>
      </c>
      <c r="Q221" s="5">
        <v>-8.9736399326978411E-3</v>
      </c>
      <c r="R221" s="10">
        <v>3.7530779850000001E-2</v>
      </c>
      <c r="S221" s="5">
        <v>0.10982138965321675</v>
      </c>
      <c r="T221" s="5">
        <v>6.6E-3</v>
      </c>
    </row>
    <row r="222" spans="1:20" x14ac:dyDescent="0.3">
      <c r="A222" s="3">
        <v>20021</v>
      </c>
      <c r="B222" s="4">
        <f t="shared" si="6"/>
        <v>-1.4335658937356193E-3</v>
      </c>
      <c r="C222" s="4">
        <f t="shared" si="7"/>
        <v>-1.438591305549318E-3</v>
      </c>
      <c r="D222" s="5">
        <v>1.3709375190650084E-2</v>
      </c>
      <c r="E222" s="5">
        <v>1.4213042024703406E-2</v>
      </c>
      <c r="F222" s="5">
        <v>2.1527118067962942E-2</v>
      </c>
      <c r="G222" s="5">
        <v>0.63684210526315788</v>
      </c>
      <c r="H222" s="10">
        <v>6.7665434990625386E-3</v>
      </c>
      <c r="I222" s="5">
        <v>0.23683340230085725</v>
      </c>
      <c r="J222" s="5">
        <v>1.3759452242847072E-2</v>
      </c>
      <c r="K222" s="11">
        <v>1.7899999999999999E-2</v>
      </c>
      <c r="L222" s="11">
        <v>6.0400000000000002E-2</v>
      </c>
      <c r="M222" s="11">
        <v>-1.9251299319999804E-2</v>
      </c>
      <c r="N222" s="5">
        <v>4.2500000000000003E-2</v>
      </c>
      <c r="O222" s="5">
        <v>1.2999999999999998E-2</v>
      </c>
      <c r="P222" s="5">
        <v>1.9572338069999917E-2</v>
      </c>
      <c r="Q222" s="5">
        <v>1.1884550084889867E-2</v>
      </c>
      <c r="R222" s="10">
        <v>3.6177462813000001E-2</v>
      </c>
      <c r="S222" s="5">
        <v>2.7864086944506816E-3</v>
      </c>
      <c r="T222" s="5">
        <v>4.2249999999999996E-3</v>
      </c>
    </row>
    <row r="223" spans="1:20" x14ac:dyDescent="0.3">
      <c r="A223" s="3">
        <v>20022</v>
      </c>
      <c r="B223" s="4">
        <f t="shared" si="6"/>
        <v>-0.14925874432892017</v>
      </c>
      <c r="C223" s="4">
        <f t="shared" si="7"/>
        <v>-0.13927425806172222</v>
      </c>
      <c r="D223" s="5">
        <v>1.620411998262293E-2</v>
      </c>
      <c r="E223" s="5">
        <v>1.5029892984987912E-2</v>
      </c>
      <c r="F223" s="5">
        <v>2.7015285761913903E-2</v>
      </c>
      <c r="G223" s="5">
        <v>0.59981301421092004</v>
      </c>
      <c r="H223" s="10">
        <v>1.012933480705322E-2</v>
      </c>
      <c r="I223" s="5">
        <v>0.26657250177680364</v>
      </c>
      <c r="J223" s="5">
        <v>2.7522764711782204E-2</v>
      </c>
      <c r="K223" s="11">
        <v>1.7000000000000001E-2</v>
      </c>
      <c r="L223" s="11">
        <v>5.6599999999999998E-2</v>
      </c>
      <c r="M223" s="11">
        <v>6.2057400049999822E-2</v>
      </c>
      <c r="N223" s="5">
        <v>3.9599999999999996E-2</v>
      </c>
      <c r="O223" s="5">
        <v>1.3200000000000003E-2</v>
      </c>
      <c r="P223" s="5">
        <v>-1.7602243052999622E-2</v>
      </c>
      <c r="Q223" s="5">
        <v>6.152125279641929E-3</v>
      </c>
      <c r="R223" s="10">
        <v>3.5374206966999999E-2</v>
      </c>
      <c r="S223" s="5">
        <v>-0.13479925806172222</v>
      </c>
      <c r="T223" s="5">
        <v>4.4749999999999998E-3</v>
      </c>
    </row>
    <row r="224" spans="1:20" x14ac:dyDescent="0.3">
      <c r="A224" s="3">
        <v>20023</v>
      </c>
      <c r="B224" s="4">
        <f t="shared" si="6"/>
        <v>-0.18944338252175411</v>
      </c>
      <c r="C224" s="4">
        <f t="shared" si="7"/>
        <v>-0.17331390488121426</v>
      </c>
      <c r="D224" s="5">
        <v>1.937838069889242E-2</v>
      </c>
      <c r="E224" s="5">
        <v>1.7246498630017357E-2</v>
      </c>
      <c r="F224" s="5">
        <v>3.6845784935421753E-2</v>
      </c>
      <c r="G224" s="5">
        <v>0.5259320905459387</v>
      </c>
      <c r="H224" s="10">
        <v>3.2118194448909301E-2</v>
      </c>
      <c r="I224" s="5">
        <v>0.3245551554638465</v>
      </c>
      <c r="J224" s="5">
        <v>2.9299293965457301E-2</v>
      </c>
      <c r="K224" s="11">
        <v>1.6299999999999999E-2</v>
      </c>
      <c r="L224" s="11">
        <v>4.8000000000000001E-2</v>
      </c>
      <c r="M224" s="11">
        <v>0.12306293686400016</v>
      </c>
      <c r="N224" s="5">
        <v>3.1700000000000006E-2</v>
      </c>
      <c r="O224" s="5">
        <v>1.2500000000000004E-2</v>
      </c>
      <c r="P224" s="5">
        <v>-3.3222235824000412E-2</v>
      </c>
      <c r="Q224" s="5">
        <v>6.1145080600333301E-3</v>
      </c>
      <c r="R224" s="10">
        <v>3.4896816467999997E-2</v>
      </c>
      <c r="S224" s="5">
        <v>-0.16906390488121426</v>
      </c>
      <c r="T224" s="5">
        <v>4.2500000000000003E-3</v>
      </c>
    </row>
    <row r="225" spans="1:20" x14ac:dyDescent="0.3">
      <c r="A225" s="3">
        <v>20024</v>
      </c>
      <c r="B225" s="4">
        <f t="shared" si="6"/>
        <v>7.7532089765926709E-2</v>
      </c>
      <c r="C225" s="4">
        <f t="shared" si="7"/>
        <v>8.0945422548568235E-2</v>
      </c>
      <c r="D225" s="5">
        <v>1.8269646063967627E-2</v>
      </c>
      <c r="E225" s="5">
        <v>1.7167391141822686E-2</v>
      </c>
      <c r="F225" s="5">
        <v>3.1358687004159932E-2</v>
      </c>
      <c r="G225" s="5">
        <v>0.58260239217107646</v>
      </c>
      <c r="H225" s="10">
        <v>1.8678248671044933E-2</v>
      </c>
      <c r="I225" s="5">
        <v>0.29538589561836665</v>
      </c>
      <c r="J225" s="5">
        <v>2.5735978058795333E-2</v>
      </c>
      <c r="K225" s="11">
        <v>1.1899999999999999E-2</v>
      </c>
      <c r="L225" s="11">
        <v>4.8399999999999999E-2</v>
      </c>
      <c r="M225" s="11">
        <v>7.3677450759999097E-3</v>
      </c>
      <c r="N225" s="5">
        <v>3.6499999999999998E-2</v>
      </c>
      <c r="O225" s="5">
        <v>1.2399999999999994E-2</v>
      </c>
      <c r="P225" s="5">
        <v>1.7011891724000083E-2</v>
      </c>
      <c r="Q225" s="5">
        <v>-5.5248618784531356E-4</v>
      </c>
      <c r="R225" s="10">
        <v>3.4089931203000003E-2</v>
      </c>
      <c r="S225" s="5">
        <v>8.5020422548568231E-2</v>
      </c>
      <c r="T225" s="5">
        <v>4.0749999999999996E-3</v>
      </c>
    </row>
    <row r="226" spans="1:20" x14ac:dyDescent="0.3">
      <c r="A226" s="3">
        <v>20031</v>
      </c>
      <c r="B226" s="4">
        <f t="shared" si="6"/>
        <v>-3.5017371729974024E-2</v>
      </c>
      <c r="C226" s="4">
        <f t="shared" si="7"/>
        <v>-3.4513731622842374E-2</v>
      </c>
      <c r="D226" s="5">
        <v>1.912801527977552E-2</v>
      </c>
      <c r="E226" s="5">
        <v>1.9287879688521668E-2</v>
      </c>
      <c r="F226" s="5">
        <v>3.5747129147115003E-2</v>
      </c>
      <c r="G226" s="5">
        <v>0.53509234828496044</v>
      </c>
      <c r="H226" s="10">
        <v>1.3867812092648103E-2</v>
      </c>
      <c r="I226" s="5">
        <v>0.28611770079921678</v>
      </c>
      <c r="J226" s="5">
        <v>2.4098596953968994E-2</v>
      </c>
      <c r="K226" s="11">
        <v>1.1299999999999999E-2</v>
      </c>
      <c r="L226" s="11">
        <v>4.9000000000000002E-2</v>
      </c>
      <c r="M226" s="11">
        <v>8.1549179899997881E-3</v>
      </c>
      <c r="N226" s="5">
        <v>3.7700000000000004E-2</v>
      </c>
      <c r="O226" s="5">
        <v>1.0600000000000012E-2</v>
      </c>
      <c r="P226" s="5">
        <v>1.2172078490000127E-2</v>
      </c>
      <c r="Q226" s="5">
        <v>1.8242122719734466E-2</v>
      </c>
      <c r="R226" s="10">
        <v>3.3950339800999998E-2</v>
      </c>
      <c r="S226" s="5">
        <v>-3.1538731622842375E-2</v>
      </c>
      <c r="T226" s="5">
        <v>2.9749999999999998E-3</v>
      </c>
    </row>
    <row r="227" spans="1:20" x14ac:dyDescent="0.3">
      <c r="A227" s="3">
        <v>20032</v>
      </c>
      <c r="B227" s="4">
        <f t="shared" si="6"/>
        <v>0.14132139085185574</v>
      </c>
      <c r="C227" s="4">
        <f t="shared" si="7"/>
        <v>0.1522235850166794</v>
      </c>
      <c r="D227" s="5">
        <v>1.6587823624180358E-2</v>
      </c>
      <c r="E227" s="5">
        <v>1.6775807137890595E-2</v>
      </c>
      <c r="F227" s="5">
        <v>3.5453715200459715E-2</v>
      </c>
      <c r="G227" s="5">
        <v>0.46787264833574532</v>
      </c>
      <c r="H227" s="10">
        <v>7.2908299362610535E-3</v>
      </c>
      <c r="I227" s="5">
        <v>0.25448833726539011</v>
      </c>
      <c r="J227" s="5">
        <v>1.2618871281020662E-3</v>
      </c>
      <c r="K227" s="11">
        <v>9.1999999999999998E-3</v>
      </c>
      <c r="L227" s="11">
        <v>4.4500000000000005E-2</v>
      </c>
      <c r="M227" s="11">
        <v>5.352578086399995E-2</v>
      </c>
      <c r="N227" s="5">
        <v>3.5300000000000005E-2</v>
      </c>
      <c r="O227" s="5">
        <v>1.2200000000000009E-2</v>
      </c>
      <c r="P227" s="5">
        <v>2.2363852989999433E-3</v>
      </c>
      <c r="Q227" s="5">
        <v>-2.7144408251900121E-3</v>
      </c>
      <c r="R227" s="10">
        <v>3.4579820131E-2</v>
      </c>
      <c r="S227" s="5">
        <v>0.1550485850166794</v>
      </c>
      <c r="T227" s="5">
        <v>2.8249999999999998E-3</v>
      </c>
    </row>
    <row r="228" spans="1:20" x14ac:dyDescent="0.3">
      <c r="A228" s="3">
        <v>20033</v>
      </c>
      <c r="B228" s="4">
        <f t="shared" si="6"/>
        <v>2.4088152857007415E-2</v>
      </c>
      <c r="C228" s="4">
        <f t="shared" si="7"/>
        <v>2.4436691405281343E-2</v>
      </c>
      <c r="D228" s="5">
        <v>1.6653112041527356E-2</v>
      </c>
      <c r="E228" s="5">
        <v>1.6454201843235684E-2</v>
      </c>
      <c r="F228" s="5">
        <v>3.8736106509232204E-2</v>
      </c>
      <c r="G228" s="5">
        <v>0.42991187143597726</v>
      </c>
      <c r="H228" s="10">
        <v>4.8811605033839238E-3</v>
      </c>
      <c r="I228" s="5">
        <v>0.24654178263370644</v>
      </c>
      <c r="J228" s="5">
        <v>7.3234062557862648E-3</v>
      </c>
      <c r="K228" s="11">
        <v>9.3999999999999986E-3</v>
      </c>
      <c r="L228" s="11">
        <v>5.2300000000000006E-2</v>
      </c>
      <c r="M228" s="11">
        <v>-3.3174484552000116E-2</v>
      </c>
      <c r="N228" s="5">
        <v>4.2900000000000008E-2</v>
      </c>
      <c r="O228" s="5">
        <v>1.0700000000000001E-2</v>
      </c>
      <c r="P228" s="5">
        <v>1.1918186235000183E-2</v>
      </c>
      <c r="Q228" s="5">
        <v>8.165487207403288E-3</v>
      </c>
      <c r="R228" s="10">
        <v>3.4977980989999997E-2</v>
      </c>
      <c r="S228" s="5">
        <v>2.6736691405281343E-2</v>
      </c>
      <c r="T228" s="5">
        <v>2.3E-3</v>
      </c>
    </row>
    <row r="229" spans="1:20" x14ac:dyDescent="0.3">
      <c r="A229" s="3">
        <v>20034</v>
      </c>
      <c r="B229" s="4">
        <f t="shared" si="6"/>
        <v>0.11142455391398777</v>
      </c>
      <c r="C229" s="4">
        <f t="shared" si="7"/>
        <v>0.11814639504747111</v>
      </c>
      <c r="D229" s="5">
        <v>1.5635117634362185E-2</v>
      </c>
      <c r="E229" s="5">
        <v>1.6428841428841431E-2</v>
      </c>
      <c r="F229" s="5">
        <v>4.3834088783365699E-2</v>
      </c>
      <c r="G229" s="5">
        <v>0.3566885514977432</v>
      </c>
      <c r="H229" s="10">
        <v>3.2209757232607443E-3</v>
      </c>
      <c r="I229" s="5">
        <v>0.21873986475412183</v>
      </c>
      <c r="J229" s="5">
        <v>6.9463113713297935E-3</v>
      </c>
      <c r="K229" s="11">
        <v>9.0000000000000011E-3</v>
      </c>
      <c r="L229" s="11">
        <v>5.1500000000000004E-2</v>
      </c>
      <c r="M229" s="11">
        <v>-1.7453427901000018E-2</v>
      </c>
      <c r="N229" s="5">
        <v>4.2500000000000003E-2</v>
      </c>
      <c r="O229" s="5">
        <v>9.8000000000000032E-3</v>
      </c>
      <c r="P229" s="5">
        <v>1.5936510617000188E-2</v>
      </c>
      <c r="Q229" s="5">
        <v>-4.8596112311013462E-3</v>
      </c>
      <c r="R229" s="10">
        <v>3.506791351E-2</v>
      </c>
      <c r="S229" s="5">
        <v>0.12049639504747112</v>
      </c>
      <c r="T229" s="5">
        <v>2.3499999999999997E-3</v>
      </c>
    </row>
    <row r="230" spans="1:20" x14ac:dyDescent="0.3">
      <c r="A230" s="3">
        <v>20041</v>
      </c>
      <c r="B230" s="4">
        <f t="shared" si="6"/>
        <v>1.5855722647972161E-2</v>
      </c>
      <c r="C230" s="4">
        <f t="shared" si="7"/>
        <v>1.6018051331537636E-2</v>
      </c>
      <c r="D230" s="5">
        <v>1.6004120013141422E-2</v>
      </c>
      <c r="E230" s="5">
        <v>1.5742309640679859E-2</v>
      </c>
      <c r="F230" s="5">
        <v>4.6172561067651677E-2</v>
      </c>
      <c r="G230" s="5">
        <v>0.34661538461538466</v>
      </c>
      <c r="H230" s="10">
        <v>3.5707938051219158E-3</v>
      </c>
      <c r="I230" s="5">
        <v>0.281731465479788</v>
      </c>
      <c r="J230" s="5">
        <v>1.2282038626579754E-2</v>
      </c>
      <c r="K230" s="11">
        <v>9.3999999999999986E-3</v>
      </c>
      <c r="L230" s="11">
        <v>4.7399999999999998E-2</v>
      </c>
      <c r="M230" s="11">
        <v>5.6824134409999782E-2</v>
      </c>
      <c r="N230" s="5">
        <v>3.7999999999999999E-2</v>
      </c>
      <c r="O230" s="5">
        <v>7.8000000000000014E-3</v>
      </c>
      <c r="P230" s="5">
        <v>-7.7566466619996E-3</v>
      </c>
      <c r="Q230" s="5">
        <v>1.6820401519262118E-2</v>
      </c>
      <c r="R230" s="10">
        <v>3.4375169773000001E-2</v>
      </c>
      <c r="S230" s="5">
        <v>1.8268051331537638E-2</v>
      </c>
      <c r="T230" s="5">
        <v>2.2500000000000003E-3</v>
      </c>
    </row>
    <row r="231" spans="1:20" x14ac:dyDescent="0.3">
      <c r="A231" s="3">
        <v>20042</v>
      </c>
      <c r="B231" s="4">
        <f t="shared" si="6"/>
        <v>1.4783550884548826E-2</v>
      </c>
      <c r="C231" s="4">
        <f t="shared" si="7"/>
        <v>1.4928367483179791E-2</v>
      </c>
      <c r="D231" s="5">
        <v>1.6305529259142384E-2</v>
      </c>
      <c r="E231" s="5">
        <v>1.6598850697790622E-2</v>
      </c>
      <c r="F231" s="5">
        <v>4.9218119981767824E-2</v>
      </c>
      <c r="G231" s="5">
        <v>0.33129118432769361</v>
      </c>
      <c r="H231" s="10">
        <v>2.9793233548502181E-3</v>
      </c>
      <c r="I231" s="5">
        <v>0.27963160295453587</v>
      </c>
      <c r="J231" s="5">
        <v>1.4491426386878012E-2</v>
      </c>
      <c r="K231" s="11">
        <v>1.2699999999999999E-2</v>
      </c>
      <c r="L231" s="11">
        <v>5.3199999999999997E-2</v>
      </c>
      <c r="M231" s="11">
        <v>-5.226968145199995E-2</v>
      </c>
      <c r="N231" s="5">
        <v>4.0499999999999994E-2</v>
      </c>
      <c r="O231" s="5">
        <v>7.6999999999999985E-3</v>
      </c>
      <c r="P231" s="5">
        <v>8.8969745400002687E-4</v>
      </c>
      <c r="Q231" s="5">
        <v>1.2273212379935838E-2</v>
      </c>
      <c r="R231" s="10">
        <v>3.4907502001999997E-2</v>
      </c>
      <c r="S231" s="5">
        <v>1.7278367483179791E-2</v>
      </c>
      <c r="T231" s="5">
        <v>2.3499999999999997E-3</v>
      </c>
    </row>
    <row r="232" spans="1:20" x14ac:dyDescent="0.3">
      <c r="A232" s="3">
        <v>20043</v>
      </c>
      <c r="B232" s="4">
        <f t="shared" si="6"/>
        <v>-2.2120498720307365E-2</v>
      </c>
      <c r="C232" s="4">
        <f t="shared" si="7"/>
        <v>-2.1947096033232378E-2</v>
      </c>
      <c r="D232" s="5">
        <v>1.7193023381004504E-2</v>
      </c>
      <c r="E232" s="5">
        <v>1.7354017242628413E-2</v>
      </c>
      <c r="F232" s="5">
        <v>5.1831183046528742E-2</v>
      </c>
      <c r="G232" s="5">
        <v>0.33171196122554958</v>
      </c>
      <c r="H232" s="10">
        <v>2.9256295073841689E-3</v>
      </c>
      <c r="I232" s="5">
        <v>0.28948530148498008</v>
      </c>
      <c r="J232" s="5">
        <v>9.1322459980248162E-3</v>
      </c>
      <c r="K232" s="11">
        <v>1.6500000000000001E-2</v>
      </c>
      <c r="L232" s="11">
        <v>4.8800000000000003E-2</v>
      </c>
      <c r="M232" s="11">
        <v>6.5746127600000204E-2</v>
      </c>
      <c r="N232" s="5">
        <v>3.2300000000000002E-2</v>
      </c>
      <c r="O232" s="5">
        <v>8.0999999999999892E-3</v>
      </c>
      <c r="P232" s="5">
        <v>3.5728030799999644E-3</v>
      </c>
      <c r="Q232" s="5">
        <v>1.0542962572483994E-3</v>
      </c>
      <c r="R232" s="10">
        <v>3.5552691228999997E-2</v>
      </c>
      <c r="S232" s="5">
        <v>-1.8772096033232377E-2</v>
      </c>
      <c r="T232" s="5">
        <v>3.1749999999999999E-3</v>
      </c>
    </row>
    <row r="233" spans="1:20" x14ac:dyDescent="0.3">
      <c r="A233" s="3">
        <v>20044</v>
      </c>
      <c r="B233" s="4">
        <f t="shared" si="6"/>
        <v>8.3681054000770999E-2</v>
      </c>
      <c r="C233" s="4">
        <f t="shared" si="7"/>
        <v>8.7642092712722539E-2</v>
      </c>
      <c r="D233" s="5">
        <v>1.6042313023961977E-2</v>
      </c>
      <c r="E233" s="5">
        <v>1.6563016476120702E-2</v>
      </c>
      <c r="F233" s="5">
        <v>4.831176975377912E-2</v>
      </c>
      <c r="G233" s="5">
        <v>0.33205807002561916</v>
      </c>
      <c r="H233" s="10">
        <v>2.815744275733602E-3</v>
      </c>
      <c r="I233" s="5">
        <v>0.27061924267899223</v>
      </c>
      <c r="J233" s="5">
        <v>1.3001511408065171E-2</v>
      </c>
      <c r="K233" s="11">
        <v>2.1899999999999999E-2</v>
      </c>
      <c r="L233" s="11">
        <v>4.8399999999999999E-2</v>
      </c>
      <c r="M233" s="11">
        <v>1.6430630999999973E-2</v>
      </c>
      <c r="N233" s="5">
        <v>2.6499999999999999E-2</v>
      </c>
      <c r="O233" s="5">
        <v>6.8000000000000074E-3</v>
      </c>
      <c r="P233" s="5">
        <v>5.2404193999999737E-3</v>
      </c>
      <c r="Q233" s="5">
        <v>2.1063717746181432E-3</v>
      </c>
      <c r="R233" s="10">
        <v>3.5904061383000001E-2</v>
      </c>
      <c r="S233" s="5">
        <v>9.1767092712722542E-2</v>
      </c>
      <c r="T233" s="5">
        <v>4.1250000000000002E-3</v>
      </c>
    </row>
    <row r="234" spans="1:20" x14ac:dyDescent="0.3">
      <c r="A234" s="3">
        <v>20051</v>
      </c>
      <c r="B234" s="4">
        <f t="shared" si="6"/>
        <v>-2.603138507552339E-2</v>
      </c>
      <c r="C234" s="4">
        <f t="shared" si="7"/>
        <v>-2.5836172296724406E-2</v>
      </c>
      <c r="D234" s="5">
        <v>1.7131264876036559E-2</v>
      </c>
      <c r="E234" s="5">
        <v>1.6803755400465272E-2</v>
      </c>
      <c r="F234" s="5">
        <v>5.1008394108030736E-2</v>
      </c>
      <c r="G234" s="5">
        <v>0.33585187645300568</v>
      </c>
      <c r="H234" s="10">
        <v>2.5157434687086747E-3</v>
      </c>
      <c r="I234" s="5">
        <v>0.31985688934248308</v>
      </c>
      <c r="J234" s="5">
        <v>9.097227294608809E-3</v>
      </c>
      <c r="K234" s="11">
        <v>2.7400000000000001E-2</v>
      </c>
      <c r="L234" s="11">
        <v>4.8800000000000003E-2</v>
      </c>
      <c r="M234" s="11">
        <v>9.4949248000000264E-3</v>
      </c>
      <c r="N234" s="5">
        <v>2.1400000000000002E-2</v>
      </c>
      <c r="O234" s="5">
        <v>6.5999999999999878E-3</v>
      </c>
      <c r="P234" s="5">
        <v>-6.0075367999998797E-3</v>
      </c>
      <c r="Q234" s="5">
        <v>1.5764582238570579E-2</v>
      </c>
      <c r="R234" s="10">
        <v>3.6032521606999997E-2</v>
      </c>
      <c r="S234" s="5">
        <v>-2.0361172296724406E-2</v>
      </c>
      <c r="T234" s="5">
        <v>5.4749999999999998E-3</v>
      </c>
    </row>
    <row r="235" spans="1:20" x14ac:dyDescent="0.3">
      <c r="A235" s="3">
        <v>20052</v>
      </c>
      <c r="B235" s="4">
        <f t="shared" si="6"/>
        <v>7.2743463570035475E-3</v>
      </c>
      <c r="C235" s="4">
        <f t="shared" si="7"/>
        <v>7.3508796368318089E-3</v>
      </c>
      <c r="D235" s="5">
        <v>1.7564402810304452E-2</v>
      </c>
      <c r="E235" s="5">
        <v>1.756189676877885E-2</v>
      </c>
      <c r="F235" s="5">
        <v>5.3100316453039878E-2</v>
      </c>
      <c r="G235" s="5">
        <v>0.33077774264938353</v>
      </c>
      <c r="H235" s="10">
        <v>3.2274284035397009E-3</v>
      </c>
      <c r="I235" s="5">
        <v>0.32697905687315876</v>
      </c>
      <c r="J235" s="5">
        <v>5.3656583293445947E-3</v>
      </c>
      <c r="K235" s="11">
        <v>2.9700000000000001E-2</v>
      </c>
      <c r="L235" s="11">
        <v>4.2900000000000001E-2</v>
      </c>
      <c r="M235" s="11">
        <v>8.5945210426999985E-2</v>
      </c>
      <c r="N235" s="5">
        <v>1.32E-2</v>
      </c>
      <c r="O235" s="5">
        <v>9.000000000000008E-3</v>
      </c>
      <c r="P235" s="5">
        <v>-7.7899388619999677E-3</v>
      </c>
      <c r="Q235" s="5">
        <v>6.2079668908432417E-3</v>
      </c>
      <c r="R235" s="10">
        <v>3.6215102282999997E-2</v>
      </c>
      <c r="S235" s="5">
        <v>1.4200879636831809E-2</v>
      </c>
      <c r="T235" s="5">
        <v>6.8500000000000002E-3</v>
      </c>
    </row>
    <row r="236" spans="1:20" x14ac:dyDescent="0.3">
      <c r="A236" s="3">
        <v>20053</v>
      </c>
      <c r="B236" s="4">
        <f t="shared" si="6"/>
        <v>2.8118743986229232E-2</v>
      </c>
      <c r="C236" s="4">
        <f t="shared" si="7"/>
        <v>2.8729552195461375E-2</v>
      </c>
      <c r="D236" s="5">
        <v>1.7473002335592975E-2</v>
      </c>
      <c r="E236" s="5">
        <v>1.7594421181155923E-2</v>
      </c>
      <c r="F236" s="5">
        <v>5.4092984269333746E-2</v>
      </c>
      <c r="G236" s="5">
        <v>0.32301790281329928</v>
      </c>
      <c r="H236" s="10">
        <v>2.0065322517955806E-3</v>
      </c>
      <c r="I236" s="5">
        <v>0.31789150983564674</v>
      </c>
      <c r="J236" s="5">
        <v>6.7164136761216674E-3</v>
      </c>
      <c r="K236" s="11">
        <v>3.4200000000000001E-2</v>
      </c>
      <c r="L236" s="11">
        <v>4.6399999999999997E-2</v>
      </c>
      <c r="M236" s="11">
        <v>-3.037872444800005E-2</v>
      </c>
      <c r="N236" s="5">
        <v>1.2199999999999996E-2</v>
      </c>
      <c r="O236" s="5">
        <v>9.0000000000000011E-3</v>
      </c>
      <c r="P236" s="5">
        <v>-2.2380714319998329E-3</v>
      </c>
      <c r="Q236" s="5">
        <v>2.2107969151671014E-2</v>
      </c>
      <c r="R236" s="10">
        <v>3.6560092122000003E-2</v>
      </c>
      <c r="S236" s="5">
        <v>3.6154552195461376E-2</v>
      </c>
      <c r="T236" s="5">
        <v>7.4250000000000002E-3</v>
      </c>
    </row>
    <row r="237" spans="1:20" x14ac:dyDescent="0.3">
      <c r="A237" s="3">
        <v>20054</v>
      </c>
      <c r="B237" s="4">
        <f t="shared" si="6"/>
        <v>1.3204404325526276E-2</v>
      </c>
      <c r="C237" s="4">
        <f t="shared" si="7"/>
        <v>1.3405613775912486E-2</v>
      </c>
      <c r="D237" s="5">
        <v>1.7797146496407085E-2</v>
      </c>
      <c r="E237" s="5">
        <v>1.7780196561769698E-2</v>
      </c>
      <c r="F237" s="5">
        <v>5.5940526640444126E-2</v>
      </c>
      <c r="G237" s="5">
        <v>0.31814406415580698</v>
      </c>
      <c r="H237" s="10">
        <v>2.7908828518631423E-3</v>
      </c>
      <c r="I237" s="5">
        <v>0.31347795661301608</v>
      </c>
      <c r="J237" s="5">
        <v>3.0588818931879349E-3</v>
      </c>
      <c r="K237" s="11">
        <v>3.8900000000000004E-2</v>
      </c>
      <c r="L237" s="11">
        <v>4.6100000000000002E-2</v>
      </c>
      <c r="M237" s="11">
        <v>1.4226662768000109E-2</v>
      </c>
      <c r="N237" s="5">
        <v>7.1999999999999981E-3</v>
      </c>
      <c r="O237" s="5">
        <v>9.5000000000000084E-3</v>
      </c>
      <c r="P237" s="5">
        <v>-2.6694168680001518E-3</v>
      </c>
      <c r="Q237" s="5">
        <v>-1.0060362173038184E-2</v>
      </c>
      <c r="R237" s="10">
        <v>3.6421726919000003E-2</v>
      </c>
      <c r="S237" s="5">
        <v>2.1955613775912486E-2</v>
      </c>
      <c r="T237" s="5">
        <v>8.5500000000000003E-3</v>
      </c>
    </row>
    <row r="238" spans="1:20" x14ac:dyDescent="0.3">
      <c r="A238" s="3">
        <v>20061</v>
      </c>
      <c r="B238" s="4">
        <f t="shared" si="6"/>
        <v>3.1668890132369294E-2</v>
      </c>
      <c r="C238" s="4">
        <f t="shared" si="7"/>
        <v>3.2488593701961652E-2</v>
      </c>
      <c r="D238" s="5">
        <v>1.7596132310805281E-2</v>
      </c>
      <c r="E238" s="5">
        <v>1.7790826605031777E-2</v>
      </c>
      <c r="F238" s="5">
        <v>5.6123197639844614E-2</v>
      </c>
      <c r="G238" s="5">
        <v>0.31352690243566805</v>
      </c>
      <c r="H238" s="10">
        <v>2.1692123894345204E-3</v>
      </c>
      <c r="I238" s="5">
        <v>0.31600944072184439</v>
      </c>
      <c r="J238" s="5">
        <v>2.1519974810766986E-3</v>
      </c>
      <c r="K238" s="11">
        <v>4.5100000000000001E-2</v>
      </c>
      <c r="L238" s="11">
        <v>5.0700000000000002E-2</v>
      </c>
      <c r="M238" s="11">
        <v>-4.2812502724000057E-2</v>
      </c>
      <c r="N238" s="5">
        <v>5.6000000000000008E-3</v>
      </c>
      <c r="O238" s="5">
        <v>8.8000000000000023E-3</v>
      </c>
      <c r="P238" s="5">
        <v>5.6568719399999745E-3</v>
      </c>
      <c r="Q238" s="5">
        <v>1.5243902439024293E-2</v>
      </c>
      <c r="R238" s="10">
        <v>3.7218097525999999E-2</v>
      </c>
      <c r="S238" s="5">
        <v>4.2213593701961649E-2</v>
      </c>
      <c r="T238" s="5">
        <v>9.725000000000001E-3</v>
      </c>
    </row>
    <row r="239" spans="1:20" x14ac:dyDescent="0.3">
      <c r="A239" s="3">
        <v>20062</v>
      </c>
      <c r="B239" s="4">
        <f t="shared" si="6"/>
        <v>-2.636207663325224E-2</v>
      </c>
      <c r="C239" s="4">
        <f t="shared" si="7"/>
        <v>-2.6310979284340084E-2</v>
      </c>
      <c r="D239" s="5">
        <v>1.8451424972445285E-2</v>
      </c>
      <c r="E239" s="5">
        <v>1.8453023014117113E-2</v>
      </c>
      <c r="F239" s="5">
        <v>5.8644307982994796E-2</v>
      </c>
      <c r="G239" s="5">
        <v>0.31463283662236546</v>
      </c>
      <c r="H239" s="10">
        <v>4.0577866614834417E-3</v>
      </c>
      <c r="I239" s="5">
        <v>0.31485028994943598</v>
      </c>
      <c r="J239" s="5">
        <v>-2.1954849368563231E-3</v>
      </c>
      <c r="K239" s="11">
        <v>4.7899999999999998E-2</v>
      </c>
      <c r="L239" s="11">
        <v>5.3100000000000001E-2</v>
      </c>
      <c r="M239" s="11">
        <v>-1.4742967239999905E-2</v>
      </c>
      <c r="N239" s="5">
        <v>5.2000000000000032E-3</v>
      </c>
      <c r="O239" s="5">
        <v>8.9000000000000051E-3</v>
      </c>
      <c r="P239" s="5">
        <v>-5.8072180400000617E-3</v>
      </c>
      <c r="Q239" s="5">
        <v>1.5515515515515554E-2</v>
      </c>
      <c r="R239" s="10">
        <v>3.7412222240000001E-2</v>
      </c>
      <c r="S239" s="5">
        <v>-1.5035979284340084E-2</v>
      </c>
      <c r="T239" s="5">
        <v>1.1275E-2</v>
      </c>
    </row>
    <row r="240" spans="1:20" x14ac:dyDescent="0.3">
      <c r="A240" s="3">
        <v>20063</v>
      </c>
      <c r="B240" s="4">
        <f t="shared" si="6"/>
        <v>4.3656965638477978E-2</v>
      </c>
      <c r="C240" s="4">
        <f t="shared" si="7"/>
        <v>4.5158323328709463E-2</v>
      </c>
      <c r="D240" s="5">
        <v>1.803799387205271E-2</v>
      </c>
      <c r="E240" s="5">
        <v>1.8481078676504423E-2</v>
      </c>
      <c r="F240" s="5">
        <v>5.881661597473363E-2</v>
      </c>
      <c r="G240" s="5">
        <v>0.30668193967163038</v>
      </c>
      <c r="H240" s="10">
        <v>2.4343099606782617E-3</v>
      </c>
      <c r="I240" s="5">
        <v>0.30059328354055592</v>
      </c>
      <c r="J240" s="5">
        <v>-9.493491052644543E-3</v>
      </c>
      <c r="K240" s="11">
        <v>4.8099999999999997E-2</v>
      </c>
      <c r="L240" s="11">
        <v>4.8399999999999999E-2</v>
      </c>
      <c r="M240" s="11">
        <v>6.825172517000011E-2</v>
      </c>
      <c r="N240" s="5">
        <v>3.0000000000000165E-4</v>
      </c>
      <c r="O240" s="5">
        <v>9.1999999999999998E-3</v>
      </c>
      <c r="P240" s="5">
        <v>1.1813841760999866E-2</v>
      </c>
      <c r="Q240" s="5">
        <v>0</v>
      </c>
      <c r="R240" s="10">
        <v>3.7586741137000002E-2</v>
      </c>
      <c r="S240" s="5">
        <v>5.7133323328709462E-2</v>
      </c>
      <c r="T240" s="5">
        <v>1.1975E-2</v>
      </c>
    </row>
    <row r="241" spans="1:20" x14ac:dyDescent="0.3">
      <c r="A241" s="3">
        <v>20064</v>
      </c>
      <c r="B241" s="4">
        <f t="shared" si="6"/>
        <v>5.1948042827509817E-2</v>
      </c>
      <c r="C241" s="4">
        <f t="shared" si="7"/>
        <v>5.3962198697466275E-2</v>
      </c>
      <c r="D241" s="5">
        <v>1.7544948177395474E-2</v>
      </c>
      <c r="E241" s="5">
        <v>1.776629088338819E-2</v>
      </c>
      <c r="F241" s="5">
        <v>5.7470210815765345E-2</v>
      </c>
      <c r="G241" s="5">
        <v>0.30528769476137901</v>
      </c>
      <c r="H241" s="10">
        <v>1.4003140886392278E-3</v>
      </c>
      <c r="I241" s="5">
        <v>0.28168239971435793</v>
      </c>
      <c r="J241" s="5">
        <v>-1.503677652357727E-2</v>
      </c>
      <c r="K241" s="11">
        <v>4.8499999999999995E-2</v>
      </c>
      <c r="L241" s="11">
        <v>4.9099999999999998E-2</v>
      </c>
      <c r="M241" s="11">
        <v>4.2853883960001227E-3</v>
      </c>
      <c r="N241" s="5">
        <v>6.0000000000000331E-4</v>
      </c>
      <c r="O241" s="5">
        <v>8.9999999999999941E-3</v>
      </c>
      <c r="P241" s="5">
        <v>9.2544234599998276E-3</v>
      </c>
      <c r="Q241" s="5">
        <v>-5.4213898472152966E-3</v>
      </c>
      <c r="R241" s="10">
        <v>3.7513102067000002E-2</v>
      </c>
      <c r="S241" s="5">
        <v>6.5987198697466276E-2</v>
      </c>
      <c r="T241" s="5">
        <v>1.2024999999999999E-2</v>
      </c>
    </row>
    <row r="242" spans="1:20" x14ac:dyDescent="0.3">
      <c r="A242" s="3">
        <v>20071</v>
      </c>
      <c r="B242" s="4">
        <f t="shared" si="6"/>
        <v>-5.4964943295518877E-3</v>
      </c>
      <c r="C242" s="4">
        <f t="shared" si="7"/>
        <v>-5.5478784147267608E-3</v>
      </c>
      <c r="D242" s="5">
        <v>1.7942654448714158E-2</v>
      </c>
      <c r="E242" s="5">
        <v>1.8121721328954666E-2</v>
      </c>
      <c r="F242" s="5">
        <v>5.8520895795504131E-2</v>
      </c>
      <c r="G242" s="5">
        <v>0.30660252555622375</v>
      </c>
      <c r="H242" s="10">
        <v>3.5148648247305321E-3</v>
      </c>
      <c r="I242" s="5">
        <v>0.26905001346109259</v>
      </c>
      <c r="J242" s="5">
        <v>-1.2486355834109045E-2</v>
      </c>
      <c r="K242" s="11">
        <v>4.9400000000000006E-2</v>
      </c>
      <c r="L242" s="11">
        <v>4.9299999999999997E-2</v>
      </c>
      <c r="M242" s="11">
        <v>8.125404650000112E-3</v>
      </c>
      <c r="N242" s="5">
        <v>-1.000000000000098E-4</v>
      </c>
      <c r="O242" s="5">
        <v>9.6999999999999933E-3</v>
      </c>
      <c r="P242" s="5">
        <v>-8.3135535030002261E-3</v>
      </c>
      <c r="Q242" s="5">
        <v>1.7601585728443947E-2</v>
      </c>
      <c r="R242" s="10">
        <v>3.7716440987999998E-2</v>
      </c>
      <c r="S242" s="5">
        <v>6.5771215852732379E-3</v>
      </c>
      <c r="T242" s="5">
        <v>1.2124999999999999E-2</v>
      </c>
    </row>
    <row r="243" spans="1:20" x14ac:dyDescent="0.3">
      <c r="A243" s="3">
        <v>20072</v>
      </c>
      <c r="B243" s="4">
        <f t="shared" si="6"/>
        <v>4.7895430788182147E-2</v>
      </c>
      <c r="C243" s="4">
        <f t="shared" si="7"/>
        <v>4.9666852845857562E-2</v>
      </c>
      <c r="D243" s="5">
        <v>1.7407805481709296E-2</v>
      </c>
      <c r="E243" s="5">
        <v>1.7097646705256694E-2</v>
      </c>
      <c r="F243" s="5">
        <v>5.6487726342860811E-2</v>
      </c>
      <c r="G243" s="5">
        <v>0.30816969647618642</v>
      </c>
      <c r="H243" s="10">
        <v>2.7511557845413563E-3</v>
      </c>
      <c r="I243" s="5">
        <v>0.24789560997351326</v>
      </c>
      <c r="J243" s="5">
        <v>-1.1064004454627498E-2</v>
      </c>
      <c r="K243" s="11">
        <v>4.6100000000000002E-2</v>
      </c>
      <c r="L243" s="11">
        <v>5.21E-2</v>
      </c>
      <c r="M243" s="11">
        <v>-2.0663803000000036E-2</v>
      </c>
      <c r="N243" s="5">
        <v>5.9999999999999984E-3</v>
      </c>
      <c r="O243" s="5">
        <v>9.1000000000000039E-3</v>
      </c>
      <c r="P243" s="5">
        <v>1.8745311600000258E-3</v>
      </c>
      <c r="Q243" s="5">
        <v>1.46090615138883E-2</v>
      </c>
      <c r="R243" s="10">
        <v>3.8069592239E-2</v>
      </c>
      <c r="S243" s="5">
        <v>6.2016852845857562E-2</v>
      </c>
      <c r="T243" s="5">
        <v>1.2350000000000002E-2</v>
      </c>
    </row>
    <row r="244" spans="1:20" x14ac:dyDescent="0.3">
      <c r="A244" s="3">
        <v>20073</v>
      </c>
      <c r="B244" s="4">
        <f t="shared" si="6"/>
        <v>8.6112650940512753E-3</v>
      </c>
      <c r="C244" s="4">
        <f t="shared" si="7"/>
        <v>8.7481220644756233E-3</v>
      </c>
      <c r="D244" s="5">
        <v>1.7670214507941706E-2</v>
      </c>
      <c r="E244" s="5">
        <v>1.8302702189295722E-2</v>
      </c>
      <c r="F244" s="5">
        <v>5.1482393525281105E-2</v>
      </c>
      <c r="G244" s="5">
        <v>0.34322830190994358</v>
      </c>
      <c r="H244" s="10">
        <v>9.428702151845705E-3</v>
      </c>
      <c r="I244" s="5">
        <v>0.23920743671233688</v>
      </c>
      <c r="J244" s="5">
        <v>-1.3015005136691977E-2</v>
      </c>
      <c r="K244" s="11">
        <v>3.8900000000000004E-2</v>
      </c>
      <c r="L244" s="11">
        <v>4.8899999999999999E-2</v>
      </c>
      <c r="M244" s="11">
        <v>5.0123798192000191E-2</v>
      </c>
      <c r="N244" s="5">
        <v>9.999999999999995E-3</v>
      </c>
      <c r="O244" s="5">
        <v>8.5000000000000006E-3</v>
      </c>
      <c r="P244" s="5">
        <v>-2.451109483199998E-2</v>
      </c>
      <c r="Q244" s="5">
        <v>6.6234065427739353E-4</v>
      </c>
      <c r="R244" s="10">
        <v>3.8167990535000001E-2</v>
      </c>
      <c r="S244" s="5">
        <v>2.0273122064475624E-2</v>
      </c>
      <c r="T244" s="5">
        <v>1.1525000000000001E-2</v>
      </c>
    </row>
    <row r="245" spans="1:20" x14ac:dyDescent="0.3">
      <c r="A245" s="3">
        <v>20074</v>
      </c>
      <c r="B245" s="4">
        <f t="shared" si="6"/>
        <v>-4.0864374206899777E-2</v>
      </c>
      <c r="C245" s="4">
        <f t="shared" si="7"/>
        <v>-4.0430079285463619E-2</v>
      </c>
      <c r="D245" s="5">
        <v>1.8886438376763334E-2</v>
      </c>
      <c r="E245" s="5">
        <v>1.8723415747329757E-2</v>
      </c>
      <c r="F245" s="5">
        <v>4.5071345349356161E-2</v>
      </c>
      <c r="G245" s="5">
        <v>0.41903427178334995</v>
      </c>
      <c r="H245" s="10">
        <v>9.6650442541895056E-3</v>
      </c>
      <c r="I245" s="5">
        <v>0.2505829731427226</v>
      </c>
      <c r="J245" s="5">
        <v>-4.0637293756402008E-2</v>
      </c>
      <c r="K245" s="11">
        <v>0.03</v>
      </c>
      <c r="L245" s="11">
        <v>4.4999999999999998E-2</v>
      </c>
      <c r="M245" s="11">
        <v>5.9942626340000027E-2</v>
      </c>
      <c r="N245" s="5">
        <v>1.4999999999999999E-2</v>
      </c>
      <c r="O245" s="5">
        <v>1.1599999999999999E-2</v>
      </c>
      <c r="P245" s="5">
        <v>-4.0326151684000111E-2</v>
      </c>
      <c r="Q245" s="5">
        <v>7.4152237517386421E-3</v>
      </c>
      <c r="R245" s="10">
        <v>3.8252800226E-2</v>
      </c>
      <c r="S245" s="5">
        <v>-3.0705079285463621E-2</v>
      </c>
      <c r="T245" s="5">
        <v>9.725000000000001E-3</v>
      </c>
    </row>
    <row r="246" spans="1:20" x14ac:dyDescent="0.3">
      <c r="A246" s="3">
        <v>20081</v>
      </c>
      <c r="B246" s="4">
        <f t="shared" si="6"/>
        <v>-0.10591757233401075</v>
      </c>
      <c r="C246" s="4">
        <f t="shared" si="7"/>
        <v>-0.10125497047948356</v>
      </c>
      <c r="D246" s="5">
        <v>2.1397142209117714E-2</v>
      </c>
      <c r="E246" s="5">
        <v>2.1269624162990462E-2</v>
      </c>
      <c r="F246" s="5">
        <v>4.5657174200289509E-2</v>
      </c>
      <c r="G246" s="5">
        <v>0.46864797447280548</v>
      </c>
      <c r="H246" s="10">
        <v>1.4395100198050455E-2</v>
      </c>
      <c r="I246" s="5">
        <v>0.25405756718033023</v>
      </c>
      <c r="J246" s="5">
        <v>-5.1830461878381209E-2</v>
      </c>
      <c r="K246" s="11">
        <v>1.26E-2</v>
      </c>
      <c r="L246" s="11">
        <v>4.3200000000000002E-2</v>
      </c>
      <c r="M246" s="11">
        <v>3.3983606404E-2</v>
      </c>
      <c r="N246" s="5">
        <v>3.0600000000000002E-2</v>
      </c>
      <c r="O246" s="5">
        <v>1.3800000000000007E-2</v>
      </c>
      <c r="P246" s="5">
        <v>-4.526374519099996E-2</v>
      </c>
      <c r="Q246" s="5">
        <v>1.6625721304919017E-2</v>
      </c>
      <c r="R246" s="10">
        <v>3.7902344411000002E-2</v>
      </c>
      <c r="S246" s="5">
        <v>-9.3754970479483557E-2</v>
      </c>
      <c r="T246" s="5">
        <v>7.4999999999999997E-3</v>
      </c>
    </row>
    <row r="247" spans="1:20" x14ac:dyDescent="0.3">
      <c r="A247" s="3">
        <v>20082</v>
      </c>
      <c r="B247" s="4">
        <f t="shared" si="6"/>
        <v>-2.9234568198925857E-2</v>
      </c>
      <c r="C247" s="4">
        <f t="shared" si="7"/>
        <v>-2.8902128043703415E-2</v>
      </c>
      <c r="D247" s="5">
        <v>2.2431250000000003E-2</v>
      </c>
      <c r="E247" s="5">
        <v>2.0503006326854142E-2</v>
      </c>
      <c r="F247" s="5">
        <v>4.0132812499999997E-2</v>
      </c>
      <c r="G247" s="5">
        <v>0.55892544286548573</v>
      </c>
      <c r="H247" s="10">
        <v>7.969622958235242E-3</v>
      </c>
      <c r="I247" s="5">
        <v>0.27449138811331442</v>
      </c>
      <c r="J247" s="5">
        <v>-4.7376850016676055E-2</v>
      </c>
      <c r="K247" s="11">
        <v>1.8600000000000002E-2</v>
      </c>
      <c r="L247" s="11">
        <v>4.5999999999999999E-2</v>
      </c>
      <c r="M247" s="11">
        <v>-2.3711688959999977E-2</v>
      </c>
      <c r="N247" s="5">
        <v>2.7399999999999997E-2</v>
      </c>
      <c r="O247" s="5">
        <v>1.3900000000000003E-2</v>
      </c>
      <c r="P247" s="5">
        <v>-1.1253834129999474E-3</v>
      </c>
      <c r="Q247" s="5">
        <v>2.4760218800344624E-2</v>
      </c>
      <c r="R247" s="10">
        <v>3.7495488403000002E-2</v>
      </c>
      <c r="S247" s="5">
        <v>-2.5752128043703415E-2</v>
      </c>
      <c r="T247" s="5">
        <v>3.15E-3</v>
      </c>
    </row>
    <row r="248" spans="1:20" x14ac:dyDescent="0.3">
      <c r="A248" s="3">
        <v>20083</v>
      </c>
      <c r="B248" s="4">
        <f t="shared" si="6"/>
        <v>-8.6469491649451363E-2</v>
      </c>
      <c r="C248" s="4">
        <f t="shared" si="7"/>
        <v>-8.3221660083455509E-2</v>
      </c>
      <c r="D248" s="5">
        <v>2.4738502692136222E-2</v>
      </c>
      <c r="E248" s="5">
        <v>2.2492458080961626E-2</v>
      </c>
      <c r="F248" s="5">
        <v>3.9396069824068049E-2</v>
      </c>
      <c r="G248" s="5">
        <v>0.627943416757345</v>
      </c>
      <c r="H248" s="10">
        <v>3.1688363247864636E-2</v>
      </c>
      <c r="I248" s="5">
        <v>0.28712354824499153</v>
      </c>
      <c r="J248" s="5">
        <v>-4.8922801359232965E-2</v>
      </c>
      <c r="K248" s="11">
        <v>1.1299999999999999E-2</v>
      </c>
      <c r="L248" s="11">
        <v>4.4299999999999999E-2</v>
      </c>
      <c r="M248" s="11">
        <v>3.3081862400000217E-2</v>
      </c>
      <c r="N248" s="5">
        <v>3.3000000000000002E-2</v>
      </c>
      <c r="O248" s="5">
        <v>1.6599999999999997E-2</v>
      </c>
      <c r="P248" s="5">
        <v>-0.11840593029300017</v>
      </c>
      <c r="Q248" s="5">
        <v>-1.4624225944293023E-4</v>
      </c>
      <c r="R248" s="10">
        <v>3.6341377034999997E-2</v>
      </c>
      <c r="S248" s="5">
        <v>-7.8571660083455508E-2</v>
      </c>
      <c r="T248" s="5">
        <v>4.6500000000000005E-3</v>
      </c>
    </row>
    <row r="249" spans="1:20" x14ac:dyDescent="0.3">
      <c r="A249" s="3">
        <v>20084</v>
      </c>
      <c r="B249" s="4">
        <f t="shared" si="6"/>
        <v>-0.24994919985515349</v>
      </c>
      <c r="C249" s="4">
        <f t="shared" si="7"/>
        <v>-0.22178442875004881</v>
      </c>
      <c r="D249" s="5">
        <v>3.1427622474398009E-2</v>
      </c>
      <c r="E249" s="5">
        <v>3.1673435686869589E-2</v>
      </c>
      <c r="F249" s="5">
        <v>1.647384445059507E-2</v>
      </c>
      <c r="G249" s="5">
        <v>1.9077284946236566</v>
      </c>
      <c r="H249" s="10">
        <v>0.1144354865456093</v>
      </c>
      <c r="I249" s="5">
        <v>0.35498422472109836</v>
      </c>
      <c r="J249" s="5">
        <v>-2.4498417902239961E-2</v>
      </c>
      <c r="K249" s="11">
        <v>2.9999999999999997E-4</v>
      </c>
      <c r="L249" s="11">
        <v>3.0300000000000001E-2</v>
      </c>
      <c r="M249" s="11">
        <v>0.20688907907700016</v>
      </c>
      <c r="N249" s="5">
        <v>0.03</v>
      </c>
      <c r="O249" s="5">
        <v>3.3800000000000004E-2</v>
      </c>
      <c r="P249" s="5">
        <v>2.6698172922999586E-2</v>
      </c>
      <c r="Q249" s="5">
        <v>-3.9102672511118208E-2</v>
      </c>
      <c r="R249" s="10">
        <v>3.3841167695E-2</v>
      </c>
      <c r="S249" s="5">
        <v>-0.21895942875004881</v>
      </c>
      <c r="T249" s="5">
        <v>2.8249999999999998E-3</v>
      </c>
    </row>
    <row r="250" spans="1:20" x14ac:dyDescent="0.3">
      <c r="A250" s="3">
        <v>20091</v>
      </c>
      <c r="B250" s="4">
        <f t="shared" si="6"/>
        <v>-0.1116535001796643</v>
      </c>
      <c r="C250" s="4">
        <f t="shared" si="7"/>
        <v>-0.10565382609111891</v>
      </c>
      <c r="D250" s="5">
        <v>3.4159700201787262E-2</v>
      </c>
      <c r="E250" s="5">
        <v>3.7077092600906011E-2</v>
      </c>
      <c r="F250" s="5">
        <v>8.5978918871495343E-3</v>
      </c>
      <c r="G250" s="5">
        <v>3.9730320699708463</v>
      </c>
      <c r="H250" s="10">
        <v>4.2296683858262726E-2</v>
      </c>
      <c r="I250" s="5">
        <v>0.44614084521850672</v>
      </c>
      <c r="J250" s="5">
        <v>-3.7429274854409771E-2</v>
      </c>
      <c r="K250" s="11">
        <v>2.0999999999999999E-3</v>
      </c>
      <c r="L250" s="11">
        <v>3.5499999999999997E-2</v>
      </c>
      <c r="M250" s="11">
        <v>-6.079401289600006E-2</v>
      </c>
      <c r="N250" s="5">
        <v>3.3399999999999999E-2</v>
      </c>
      <c r="O250" s="5">
        <v>2.9199999999999997E-2</v>
      </c>
      <c r="P250" s="5">
        <v>-6.356206835999989E-2</v>
      </c>
      <c r="Q250" s="5">
        <v>1.180147268679721E-2</v>
      </c>
      <c r="R250" s="10">
        <v>3.1017714419999998E-2</v>
      </c>
      <c r="S250" s="5">
        <v>-0.1055788260911189</v>
      </c>
      <c r="T250" s="5">
        <v>7.4999999999999993E-5</v>
      </c>
    </row>
    <row r="251" spans="1:20" x14ac:dyDescent="0.3">
      <c r="A251" s="3">
        <v>20092</v>
      </c>
      <c r="B251" s="4">
        <f t="shared" si="6"/>
        <v>0.14519847355716628</v>
      </c>
      <c r="C251" s="4">
        <f t="shared" si="7"/>
        <v>0.15635107756854716</v>
      </c>
      <c r="D251" s="5">
        <v>2.7840142714180047E-2</v>
      </c>
      <c r="E251" s="5">
        <v>2.7845594795134584E-2</v>
      </c>
      <c r="F251" s="5">
        <v>8.169081495018056E-3</v>
      </c>
      <c r="G251" s="5">
        <v>3.4079893475366183</v>
      </c>
      <c r="H251" s="10">
        <v>1.7404706754365055E-2</v>
      </c>
      <c r="I251" s="5">
        <v>0.40187640582455308</v>
      </c>
      <c r="J251" s="5">
        <v>-2.209749831546453E-2</v>
      </c>
      <c r="K251" s="11">
        <v>1.8E-3</v>
      </c>
      <c r="L251" s="11">
        <v>4.2900000000000001E-2</v>
      </c>
      <c r="M251" s="11">
        <v>-8.0521630984000003E-2</v>
      </c>
      <c r="N251" s="5">
        <v>4.1099999999999998E-2</v>
      </c>
      <c r="O251" s="5">
        <v>1.8899999999999993E-2</v>
      </c>
      <c r="P251" s="5">
        <v>0.16287629648399982</v>
      </c>
      <c r="Q251" s="5">
        <v>1.402855544429249E-2</v>
      </c>
      <c r="R251" s="10">
        <v>2.9894054892000001E-2</v>
      </c>
      <c r="S251" s="5">
        <v>0.15687607756854716</v>
      </c>
      <c r="T251" s="5">
        <v>5.2499999999999997E-4</v>
      </c>
    </row>
    <row r="252" spans="1:20" x14ac:dyDescent="0.3">
      <c r="A252" s="3">
        <v>20093</v>
      </c>
      <c r="B252" s="4">
        <f t="shared" si="6"/>
        <v>0.14143205932242925</v>
      </c>
      <c r="C252" s="4">
        <f t="shared" si="7"/>
        <v>0.15199060423235827</v>
      </c>
      <c r="D252" s="5">
        <v>2.261039845612442E-2</v>
      </c>
      <c r="E252" s="5">
        <v>2.3418118398620447E-2</v>
      </c>
      <c r="F252" s="5">
        <v>1.1862867521852651E-2</v>
      </c>
      <c r="G252" s="5">
        <v>1.9059808612440192</v>
      </c>
      <c r="H252" s="10">
        <v>7.8614072348600038E-3</v>
      </c>
      <c r="I252" s="5">
        <v>0.3495214306012594</v>
      </c>
      <c r="J252" s="5">
        <v>-1.4334718557765789E-5</v>
      </c>
      <c r="K252" s="11">
        <v>1.1999999999999999E-3</v>
      </c>
      <c r="L252" s="11">
        <v>4.0300000000000002E-2</v>
      </c>
      <c r="M252" s="11">
        <v>4.3084662464000001E-2</v>
      </c>
      <c r="N252" s="5">
        <v>3.9100000000000003E-2</v>
      </c>
      <c r="O252" s="5">
        <v>1.1799999999999991E-2</v>
      </c>
      <c r="P252" s="5">
        <v>6.7763335111000078E-2</v>
      </c>
      <c r="Q252" s="5">
        <v>1.279596463491961E-3</v>
      </c>
      <c r="R252" s="10">
        <v>2.957503647E-2</v>
      </c>
      <c r="S252" s="5">
        <v>0.15244060423235828</v>
      </c>
      <c r="T252" s="5">
        <v>4.4999999999999999E-4</v>
      </c>
    </row>
    <row r="253" spans="1:20" x14ac:dyDescent="0.3">
      <c r="A253" s="3">
        <v>20094</v>
      </c>
      <c r="B253" s="4">
        <f t="shared" si="6"/>
        <v>5.8588694767759214E-2</v>
      </c>
      <c r="C253" s="4">
        <f t="shared" si="7"/>
        <v>6.0357129756256366E-2</v>
      </c>
      <c r="D253" s="5">
        <v>2.0092368397453146E-2</v>
      </c>
      <c r="E253" s="5">
        <v>2.0449421793853763E-2</v>
      </c>
      <c r="F253" s="5">
        <v>4.5708905030938933E-2</v>
      </c>
      <c r="G253" s="5">
        <v>0.43957229742986076</v>
      </c>
      <c r="H253" s="10">
        <v>6.8327206354352934E-3</v>
      </c>
      <c r="I253" s="5">
        <v>0.32553066009464859</v>
      </c>
      <c r="J253" s="5">
        <v>1.0594469197633806E-2</v>
      </c>
      <c r="K253" s="11">
        <v>5.0000000000000001E-4</v>
      </c>
      <c r="L253" s="11">
        <v>4.58E-2</v>
      </c>
      <c r="M253" s="11">
        <v>-5.5250988288000125E-2</v>
      </c>
      <c r="N253" s="5">
        <v>4.53E-2</v>
      </c>
      <c r="O253" s="5">
        <v>1.1100000000000006E-2</v>
      </c>
      <c r="P253" s="5">
        <v>3.3592834688000228E-2</v>
      </c>
      <c r="Q253" s="5">
        <v>-9.2605883251661858E-5</v>
      </c>
      <c r="R253" s="10">
        <v>2.9636419604999999E-2</v>
      </c>
      <c r="S253" s="5">
        <v>6.0657129756256367E-2</v>
      </c>
      <c r="T253" s="5">
        <v>2.9999999999999997E-4</v>
      </c>
    </row>
    <row r="254" spans="1:20" x14ac:dyDescent="0.3">
      <c r="A254" s="3">
        <v>20101</v>
      </c>
      <c r="B254" s="4">
        <f t="shared" si="6"/>
        <v>5.2664711507984213E-2</v>
      </c>
      <c r="C254" s="4">
        <f t="shared" si="7"/>
        <v>5.4082925776498023E-2</v>
      </c>
      <c r="D254" s="5">
        <v>1.8730492633163162E-2</v>
      </c>
      <c r="E254" s="5">
        <v>1.9831777562494907E-2</v>
      </c>
      <c r="F254" s="5">
        <v>5.210230625176368E-2</v>
      </c>
      <c r="G254" s="5">
        <v>0.35949450188741172</v>
      </c>
      <c r="H254" s="10">
        <v>4.9983567492533311E-3</v>
      </c>
      <c r="I254" s="5">
        <v>0.38187817029778121</v>
      </c>
      <c r="J254" s="5">
        <v>2.6390100463031741E-2</v>
      </c>
      <c r="K254" s="11">
        <v>1.5E-3</v>
      </c>
      <c r="L254" s="11">
        <v>4.5777699999999998E-2</v>
      </c>
      <c r="M254" s="11">
        <v>1.1196422699174091E-2</v>
      </c>
      <c r="N254" s="5">
        <v>4.4277699999999996E-2</v>
      </c>
      <c r="O254" s="5">
        <v>9.999999999999995E-3</v>
      </c>
      <c r="P254" s="5">
        <v>6.8424683565924127E-3</v>
      </c>
      <c r="Q254" s="5">
        <v>7.7888760772217847E-3</v>
      </c>
      <c r="R254" s="10">
        <v>2.9705783249000001E-2</v>
      </c>
      <c r="S254" s="5">
        <v>5.4207925776498023E-2</v>
      </c>
      <c r="T254" s="5">
        <v>1.25E-4</v>
      </c>
    </row>
    <row r="255" spans="1:20" x14ac:dyDescent="0.3">
      <c r="A255" s="3">
        <v>20102</v>
      </c>
      <c r="B255" s="4">
        <f t="shared" si="6"/>
        <v>-0.12303720877481029</v>
      </c>
      <c r="C255" s="4">
        <f t="shared" si="7"/>
        <v>-0.11581265265924943</v>
      </c>
      <c r="D255" s="5">
        <v>2.1380407680142814E-2</v>
      </c>
      <c r="E255" s="5">
        <v>2.0228380499536444E-2</v>
      </c>
      <c r="F255" s="5">
        <v>6.5100755789698359E-2</v>
      </c>
      <c r="G255" s="5">
        <v>0.32842026825633386</v>
      </c>
      <c r="H255" s="10">
        <v>1.5493432737028466E-2</v>
      </c>
      <c r="I255" s="5">
        <v>0.42417654148446593</v>
      </c>
      <c r="J255" s="5">
        <v>1.877587650343213E-2</v>
      </c>
      <c r="K255" s="11">
        <v>1.1999999999999999E-3</v>
      </c>
      <c r="L255" s="11">
        <v>3.7607399999999999E-2</v>
      </c>
      <c r="M255" s="11">
        <v>0.12333273009756507</v>
      </c>
      <c r="N255" s="5">
        <v>3.6407399999999999E-2</v>
      </c>
      <c r="O255" s="5">
        <v>1.3500000000000005E-2</v>
      </c>
      <c r="P255" s="5">
        <v>-3.9350633601940022E-2</v>
      </c>
      <c r="Q255" s="5">
        <v>1.5347078311453988E-3</v>
      </c>
      <c r="R255" s="10">
        <v>3.0536380812E-2</v>
      </c>
      <c r="S255" s="5">
        <v>-0.11543765265924943</v>
      </c>
      <c r="T255" s="5">
        <v>3.7500000000000001E-4</v>
      </c>
    </row>
    <row r="256" spans="1:20" x14ac:dyDescent="0.3">
      <c r="A256" s="3">
        <v>20103</v>
      </c>
      <c r="B256" s="4">
        <f t="shared" si="6"/>
        <v>0.10781061860041448</v>
      </c>
      <c r="C256" s="4">
        <f t="shared" si="7"/>
        <v>0.11387093647744903</v>
      </c>
      <c r="D256" s="5">
        <v>1.9587276550998949E-2</v>
      </c>
      <c r="E256" s="5">
        <v>2.1302164238132908E-2</v>
      </c>
      <c r="F256" s="5">
        <v>6.2968804766912023E-2</v>
      </c>
      <c r="G256" s="5">
        <v>0.31106317840244924</v>
      </c>
      <c r="H256" s="10">
        <v>8.3905712971677534E-3</v>
      </c>
      <c r="I256" s="5">
        <v>0.3843057827874361</v>
      </c>
      <c r="J256" s="5">
        <v>3.3375031058306536E-3</v>
      </c>
      <c r="K256" s="11">
        <v>1.5E-3</v>
      </c>
      <c r="L256" s="11">
        <v>3.4063000000000003E-2</v>
      </c>
      <c r="M256" s="11">
        <v>5.6375418555608459E-2</v>
      </c>
      <c r="N256" s="5">
        <v>3.2563000000000002E-2</v>
      </c>
      <c r="O256" s="5">
        <v>1.1300000000000004E-2</v>
      </c>
      <c r="P256" s="5">
        <v>-6.6052859827843147E-3</v>
      </c>
      <c r="Q256" s="5">
        <v>2.1746610694377555E-3</v>
      </c>
      <c r="R256" s="10">
        <v>3.1190498402E-2</v>
      </c>
      <c r="S256" s="5">
        <v>0.11417093647744903</v>
      </c>
      <c r="T256" s="5">
        <v>2.9999999999999997E-4</v>
      </c>
    </row>
    <row r="257" spans="1:20" x14ac:dyDescent="0.3">
      <c r="A257" s="3">
        <v>20104</v>
      </c>
      <c r="B257" s="4">
        <f t="shared" si="6"/>
        <v>0.10247154860474456</v>
      </c>
      <c r="C257" s="4">
        <f t="shared" si="7"/>
        <v>0.10794624466363169</v>
      </c>
      <c r="D257" s="5">
        <v>1.8072739416685218E-2</v>
      </c>
      <c r="E257" s="5">
        <v>1.9252890601838126E-2</v>
      </c>
      <c r="F257" s="5">
        <v>6.1504087020132936E-2</v>
      </c>
      <c r="G257" s="5">
        <v>0.29384615384615387</v>
      </c>
      <c r="H257" s="10">
        <v>3.6501585057905454E-3</v>
      </c>
      <c r="I257" s="5">
        <v>0.35810031690752153</v>
      </c>
      <c r="J257" s="5">
        <v>1.2611848285473015E-2</v>
      </c>
      <c r="K257" s="11">
        <v>1.4000000000000002E-3</v>
      </c>
      <c r="L257" s="11">
        <v>4.1378199999999997E-2</v>
      </c>
      <c r="M257" s="11">
        <v>-8.2095955641257934E-2</v>
      </c>
      <c r="N257" s="5">
        <v>3.9978199999999998E-2</v>
      </c>
      <c r="O257" s="5">
        <v>1.0800000000000004E-2</v>
      </c>
      <c r="P257" s="5">
        <v>5.2684759038336026E-2</v>
      </c>
      <c r="Q257" s="5">
        <v>3.3876734465916325E-3</v>
      </c>
      <c r="R257" s="10">
        <v>3.1600948169999997E-2</v>
      </c>
      <c r="S257" s="5">
        <v>0.10832124466363169</v>
      </c>
      <c r="T257" s="5">
        <v>3.7500000000000001E-4</v>
      </c>
    </row>
    <row r="258" spans="1:20" x14ac:dyDescent="0.3">
      <c r="A258" s="3">
        <v>20111</v>
      </c>
      <c r="B258" s="4">
        <f t="shared" si="6"/>
        <v>5.5346242271668997E-2</v>
      </c>
      <c r="C258" s="4">
        <f t="shared" si="7"/>
        <v>5.6926414310307497E-2</v>
      </c>
      <c r="D258" s="5">
        <v>1.7672703136902924E-2</v>
      </c>
      <c r="E258" s="5">
        <v>1.7654194481698592E-2</v>
      </c>
      <c r="F258" s="5">
        <v>6.1327621188236807E-2</v>
      </c>
      <c r="G258" s="5">
        <v>0.28816873693272665</v>
      </c>
      <c r="H258" s="10">
        <v>4.2760277006118992E-3</v>
      </c>
      <c r="I258" s="5">
        <v>0.35426993935743722</v>
      </c>
      <c r="J258" s="5">
        <v>1.2476033022314231E-2</v>
      </c>
      <c r="K258" s="11">
        <v>1E-3</v>
      </c>
      <c r="L258" s="11">
        <v>4.2900000000000001E-2</v>
      </c>
      <c r="M258" s="11">
        <v>-9.1163671119999234E-3</v>
      </c>
      <c r="N258" s="5">
        <v>4.19E-2</v>
      </c>
      <c r="O258" s="5">
        <v>9.0000000000000011E-3</v>
      </c>
      <c r="P258" s="5">
        <v>-2.4627346960001129E-3</v>
      </c>
      <c r="Q258" s="5">
        <v>1.9563918076093145E-2</v>
      </c>
      <c r="R258" s="10">
        <v>3.1351135221999997E-2</v>
      </c>
      <c r="S258" s="5">
        <v>5.72764143103075E-2</v>
      </c>
      <c r="T258" s="5">
        <v>3.5000000000000005E-4</v>
      </c>
    </row>
    <row r="259" spans="1:20" x14ac:dyDescent="0.3">
      <c r="A259" s="3">
        <v>20112</v>
      </c>
      <c r="B259" s="4">
        <f t="shared" ref="B259:B305" si="8">LN(1+S259) - LN(1+T259)</f>
        <v>7.0509181373721707E-4</v>
      </c>
      <c r="C259" s="4">
        <f t="shared" ref="C259:C305" si="9">S259-T259</f>
        <v>7.0551678451610833E-4</v>
      </c>
      <c r="D259" s="5">
        <v>1.8431215168403198E-2</v>
      </c>
      <c r="E259" s="5">
        <v>1.8094707106749926E-2</v>
      </c>
      <c r="F259" s="5">
        <v>6.3507087472740475E-2</v>
      </c>
      <c r="G259" s="5">
        <v>0.29022296411112442</v>
      </c>
      <c r="H259" s="10">
        <v>3.8654813138088318E-3</v>
      </c>
      <c r="I259" s="5">
        <v>0.35157003916438573</v>
      </c>
      <c r="J259" s="5">
        <v>1.173356058834742E-2</v>
      </c>
      <c r="K259" s="11">
        <v>4.0000000000000002E-4</v>
      </c>
      <c r="L259" s="11">
        <v>4.0399999999999998E-2</v>
      </c>
      <c r="M259" s="11">
        <v>3.7202144545000149E-2</v>
      </c>
      <c r="N259" s="5">
        <v>0.04</v>
      </c>
      <c r="O259" s="5">
        <v>7.6000000000000026E-3</v>
      </c>
      <c r="P259" s="5">
        <v>-9.0424133750000024E-3</v>
      </c>
      <c r="Q259" s="5">
        <v>1.009097540128967E-2</v>
      </c>
      <c r="R259" s="10">
        <v>3.195861379E-2</v>
      </c>
      <c r="S259" s="5">
        <v>9.5551678451610833E-4</v>
      </c>
      <c r="T259" s="5">
        <v>2.5000000000000001E-4</v>
      </c>
    </row>
    <row r="260" spans="1:20" x14ac:dyDescent="0.3">
      <c r="A260" s="3">
        <v>20113</v>
      </c>
      <c r="B260" s="4">
        <f t="shared" si="8"/>
        <v>-0.14880805294427921</v>
      </c>
      <c r="C260" s="4">
        <f t="shared" si="9"/>
        <v>-0.13827932012279365</v>
      </c>
      <c r="D260" s="5">
        <v>2.2256102950274876E-2</v>
      </c>
      <c r="E260" s="5">
        <v>2.0658960201494801E-2</v>
      </c>
      <c r="F260" s="5">
        <v>7.6876845026603718E-2</v>
      </c>
      <c r="G260" s="5">
        <v>0.28950333409979312</v>
      </c>
      <c r="H260" s="10">
        <v>2.7968815568255256E-2</v>
      </c>
      <c r="I260" s="5">
        <v>0.39992284700065428</v>
      </c>
      <c r="J260" s="5">
        <v>1.3049305670501906E-2</v>
      </c>
      <c r="K260" s="11">
        <v>1E-4</v>
      </c>
      <c r="L260" s="11">
        <v>2.6499999999999999E-2</v>
      </c>
      <c r="M260" s="11">
        <v>0.21173308985600015</v>
      </c>
      <c r="N260" s="5">
        <v>2.64E-2</v>
      </c>
      <c r="O260" s="5">
        <v>1.1799999999999998E-2</v>
      </c>
      <c r="P260" s="5">
        <v>-7.7632865856000155E-2</v>
      </c>
      <c r="Q260" s="5">
        <v>5.1700764657409692E-3</v>
      </c>
      <c r="R260" s="10">
        <v>3.3224013077999999E-2</v>
      </c>
      <c r="S260" s="5">
        <v>-0.13817932012279366</v>
      </c>
      <c r="T260" s="5">
        <v>1E-4</v>
      </c>
    </row>
    <row r="261" spans="1:20" x14ac:dyDescent="0.3">
      <c r="A261" s="3">
        <v>20114</v>
      </c>
      <c r="B261" s="4">
        <f t="shared" si="8"/>
        <v>0.11009845067824654</v>
      </c>
      <c r="C261" s="4">
        <f t="shared" si="9"/>
        <v>0.11639088390133495</v>
      </c>
      <c r="D261" s="5">
        <v>2.1012245547073791E-2</v>
      </c>
      <c r="E261" s="5">
        <v>2.1191537819978182E-2</v>
      </c>
      <c r="F261" s="5">
        <v>6.9139631043257002E-2</v>
      </c>
      <c r="G261" s="5">
        <v>0.30391029327199537</v>
      </c>
      <c r="H261" s="10">
        <v>1.7844550296529219E-2</v>
      </c>
      <c r="I261" s="5">
        <v>0.35723254070370847</v>
      </c>
      <c r="J261" s="5">
        <v>-6.4973286067504217E-3</v>
      </c>
      <c r="K261" s="11">
        <v>1E-4</v>
      </c>
      <c r="L261" s="11">
        <v>2.4799999999999999E-2</v>
      </c>
      <c r="M261" s="11">
        <v>2.0562702379999909E-2</v>
      </c>
      <c r="N261" s="5">
        <v>2.47E-2</v>
      </c>
      <c r="O261" s="5">
        <v>1.3199999999999996E-2</v>
      </c>
      <c r="P261" s="5">
        <v>2.7440840520001064E-3</v>
      </c>
      <c r="Q261" s="5">
        <v>-5.3638563350361101E-3</v>
      </c>
      <c r="R261" s="10">
        <v>3.3794347167999998E-2</v>
      </c>
      <c r="S261" s="5">
        <v>0.11641588390133495</v>
      </c>
      <c r="T261" s="5">
        <v>2.5000000000000001E-5</v>
      </c>
    </row>
    <row r="262" spans="1:20" x14ac:dyDescent="0.3">
      <c r="A262" s="3">
        <v>20121</v>
      </c>
      <c r="B262" s="4">
        <f t="shared" si="8"/>
        <v>0.11895356529753018</v>
      </c>
      <c r="C262" s="4">
        <f t="shared" si="9"/>
        <v>0.12632077479105769</v>
      </c>
      <c r="D262" s="5">
        <v>1.9420363941014006E-2</v>
      </c>
      <c r="E262" s="5">
        <v>2.0028850096655143E-2</v>
      </c>
      <c r="F262" s="5">
        <v>6.2862538783218666E-2</v>
      </c>
      <c r="G262" s="5">
        <v>0.30893381522475716</v>
      </c>
      <c r="H262" s="10">
        <v>2.4271039419745746E-3</v>
      </c>
      <c r="I262" s="5">
        <v>0.34618196735704709</v>
      </c>
      <c r="J262" s="5">
        <v>-1.3775054438346415E-2</v>
      </c>
      <c r="K262" s="11">
        <v>8.0000000000000004E-4</v>
      </c>
      <c r="L262" s="11">
        <v>2.9000000000000001E-2</v>
      </c>
      <c r="M262" s="11">
        <v>-4.9017921616000049E-2</v>
      </c>
      <c r="N262" s="5">
        <v>2.8200000000000003E-2</v>
      </c>
      <c r="O262" s="5">
        <v>1.2400000000000001E-2</v>
      </c>
      <c r="P262" s="5">
        <v>4.3164621042000251E-2</v>
      </c>
      <c r="Q262" s="5">
        <v>1.6484100818887626E-2</v>
      </c>
      <c r="R262" s="10">
        <v>3.4355500730000002E-2</v>
      </c>
      <c r="S262" s="5">
        <v>0.12634577479105769</v>
      </c>
      <c r="T262" s="5">
        <v>2.5000000000000001E-5</v>
      </c>
    </row>
    <row r="263" spans="1:20" x14ac:dyDescent="0.3">
      <c r="A263" s="3">
        <v>20122</v>
      </c>
      <c r="B263" s="4">
        <f t="shared" si="8"/>
        <v>-2.7275906781056701E-2</v>
      </c>
      <c r="C263" s="4">
        <f t="shared" si="9"/>
        <v>-2.691265985336002E-2</v>
      </c>
      <c r="D263" s="5">
        <v>2.0790509191284428E-2</v>
      </c>
      <c r="E263" s="5">
        <v>2.1612876145703754E-2</v>
      </c>
      <c r="F263" s="5">
        <v>6.4544546896106184E-2</v>
      </c>
      <c r="G263" s="5">
        <v>0.3221110100090992</v>
      </c>
      <c r="H263" s="10">
        <v>6.5608638057337255E-3</v>
      </c>
      <c r="I263" s="5">
        <v>0.35510388514365976</v>
      </c>
      <c r="J263" s="5">
        <v>-1.9043070858932625E-2</v>
      </c>
      <c r="K263" s="11">
        <v>8.9999999999999998E-4</v>
      </c>
      <c r="L263" s="11">
        <v>2.2499999999999999E-2</v>
      </c>
      <c r="M263" s="11">
        <v>9.2763383767999974E-2</v>
      </c>
      <c r="N263" s="5">
        <v>2.1599999999999998E-2</v>
      </c>
      <c r="O263" s="5">
        <v>1.3799999999999993E-2</v>
      </c>
      <c r="P263" s="5">
        <v>-2.5613617752000106E-2</v>
      </c>
      <c r="Q263" s="5">
        <v>3.7490409430152027E-4</v>
      </c>
      <c r="R263" s="10">
        <v>3.4801916168999997E-2</v>
      </c>
      <c r="S263" s="5">
        <v>-2.6712659853360021E-2</v>
      </c>
      <c r="T263" s="5">
        <v>2.0000000000000001E-4</v>
      </c>
    </row>
    <row r="264" spans="1:20" x14ac:dyDescent="0.3">
      <c r="A264" s="3">
        <v>20123</v>
      </c>
      <c r="B264" s="4">
        <f t="shared" si="8"/>
        <v>6.1334744763339076E-2</v>
      </c>
      <c r="C264" s="4">
        <f t="shared" si="9"/>
        <v>6.3269005914448867E-2</v>
      </c>
      <c r="D264" s="5">
        <v>2.053905474536153E-2</v>
      </c>
      <c r="E264" s="5">
        <v>2.1036841132392046E-2</v>
      </c>
      <c r="F264" s="5">
        <v>6.0041508464811509E-2</v>
      </c>
      <c r="G264" s="5">
        <v>0.34208092485549135</v>
      </c>
      <c r="H264" s="10">
        <v>3.3246026258726678E-3</v>
      </c>
      <c r="I264" s="5">
        <v>0.34038295380040234</v>
      </c>
      <c r="J264" s="5">
        <v>-1.74248984527333E-2</v>
      </c>
      <c r="K264" s="11">
        <v>1.1000000000000001E-3</v>
      </c>
      <c r="L264" s="11">
        <v>2.2599999999999999E-2</v>
      </c>
      <c r="M264" s="11">
        <v>2.8731522159999301E-3</v>
      </c>
      <c r="N264" s="5">
        <v>2.1499999999999998E-2</v>
      </c>
      <c r="O264" s="5">
        <v>1.3499999999999998E-2</v>
      </c>
      <c r="P264" s="5">
        <v>3.5210919200000079E-2</v>
      </c>
      <c r="Q264" s="5">
        <v>8.4060345654048962E-3</v>
      </c>
      <c r="R264" s="10">
        <v>3.4348450799000001E-2</v>
      </c>
      <c r="S264" s="5">
        <v>6.349400591444887E-2</v>
      </c>
      <c r="T264" s="5">
        <v>2.2499999999999999E-4</v>
      </c>
    </row>
    <row r="265" spans="1:20" x14ac:dyDescent="0.3">
      <c r="A265" s="3">
        <v>20124</v>
      </c>
      <c r="B265" s="4">
        <f t="shared" si="8"/>
        <v>-4.4890808414263924E-3</v>
      </c>
      <c r="C265" s="4">
        <f t="shared" si="9"/>
        <v>-4.4802517088260189E-3</v>
      </c>
      <c r="D265" s="5">
        <v>2.1909382388089416E-2</v>
      </c>
      <c r="E265" s="5">
        <v>2.2064244706230314E-2</v>
      </c>
      <c r="F265" s="5">
        <v>6.0658117081174329E-2</v>
      </c>
      <c r="G265" s="5">
        <v>0.36119456788890575</v>
      </c>
      <c r="H265" s="10">
        <v>3.8638894266523499E-3</v>
      </c>
      <c r="I265" s="5">
        <v>0.34903244318207838</v>
      </c>
      <c r="J265" s="5">
        <v>-1.154912103836373E-2</v>
      </c>
      <c r="K265" s="11">
        <v>7.000000000000001E-4</v>
      </c>
      <c r="L265" s="11">
        <v>2.41E-2</v>
      </c>
      <c r="M265" s="11">
        <v>-7.4823527679999113E-3</v>
      </c>
      <c r="N265" s="5">
        <v>2.3400000000000001E-2</v>
      </c>
      <c r="O265" s="5">
        <v>9.8000000000000032E-3</v>
      </c>
      <c r="P265" s="5">
        <v>1.2423327791999839E-2</v>
      </c>
      <c r="Q265" s="5">
        <v>-7.8044311537680544E-3</v>
      </c>
      <c r="R265" s="10">
        <v>3.4400438573E-2</v>
      </c>
      <c r="S265" s="5">
        <v>-4.2052517088260188E-3</v>
      </c>
      <c r="T265" s="5">
        <v>2.7500000000000002E-4</v>
      </c>
    </row>
    <row r="266" spans="1:20" x14ac:dyDescent="0.3">
      <c r="A266" s="3">
        <v>20131</v>
      </c>
      <c r="B266" s="4">
        <f t="shared" si="8"/>
        <v>0.10068521870899999</v>
      </c>
      <c r="C266" s="4">
        <f t="shared" si="9"/>
        <v>0.10594699885787788</v>
      </c>
      <c r="D266" s="5">
        <v>2.0464024157730572E-2</v>
      </c>
      <c r="E266" s="5">
        <v>2.1200479354100694E-2</v>
      </c>
      <c r="F266" s="5">
        <v>5.5888706912483502E-2</v>
      </c>
      <c r="G266" s="5">
        <v>0.36615669404868012</v>
      </c>
      <c r="H266" s="10">
        <v>2.634063937772514E-3</v>
      </c>
      <c r="I266" s="5">
        <v>0.34612999655658244</v>
      </c>
      <c r="J266" s="5">
        <v>-8.9106379976270494E-3</v>
      </c>
      <c r="K266" s="11">
        <v>8.9999999999999998E-4</v>
      </c>
      <c r="L266" s="11">
        <v>2.8400000000000002E-2</v>
      </c>
      <c r="M266" s="11">
        <v>-2.8240973423999893E-2</v>
      </c>
      <c r="N266" s="5">
        <v>2.75E-2</v>
      </c>
      <c r="O266" s="5">
        <v>9.1999999999999929E-3</v>
      </c>
      <c r="P266" s="5">
        <v>4.1900073859999498E-3</v>
      </c>
      <c r="Q266" s="5">
        <v>1.3815270839412808E-2</v>
      </c>
      <c r="R266" s="10">
        <v>3.4520420317999997E-2</v>
      </c>
      <c r="S266" s="5">
        <v>0.10612199885787788</v>
      </c>
      <c r="T266" s="5">
        <v>1.7500000000000003E-4</v>
      </c>
    </row>
    <row r="267" spans="1:20" x14ac:dyDescent="0.3">
      <c r="A267" s="3">
        <v>20132</v>
      </c>
      <c r="B267" s="4">
        <f t="shared" si="8"/>
        <v>2.8368456151606318E-2</v>
      </c>
      <c r="C267" s="4">
        <f t="shared" si="9"/>
        <v>2.8781147255090431E-2</v>
      </c>
      <c r="D267" s="5">
        <v>2.0710175886224442E-2</v>
      </c>
      <c r="E267" s="5">
        <v>2.039953721778125E-2</v>
      </c>
      <c r="F267" s="5">
        <v>5.6621510571008796E-2</v>
      </c>
      <c r="G267" s="5">
        <v>0.36576516022566902</v>
      </c>
      <c r="H267" s="10">
        <v>4.9459771709104905E-3</v>
      </c>
      <c r="I267" s="5">
        <v>0.33844435799753175</v>
      </c>
      <c r="J267" s="5">
        <v>1.1871136469653836E-4</v>
      </c>
      <c r="K267" s="11">
        <v>5.0000000000000001E-4</v>
      </c>
      <c r="L267" s="11">
        <v>3.2899999999999999E-2</v>
      </c>
      <c r="M267" s="11">
        <v>-5.5194507829999795E-2</v>
      </c>
      <c r="N267" s="5">
        <v>3.2399999999999998E-2</v>
      </c>
      <c r="O267" s="5">
        <v>9.2000000000000068E-3</v>
      </c>
      <c r="P267" s="5">
        <v>-1.7129614260003034E-3</v>
      </c>
      <c r="Q267" s="5">
        <v>3.1403985857465511E-3</v>
      </c>
      <c r="R267" s="10">
        <v>3.4286843349E-2</v>
      </c>
      <c r="S267" s="5">
        <v>2.9006147255090431E-2</v>
      </c>
      <c r="T267" s="5">
        <v>2.2499999999999999E-4</v>
      </c>
    </row>
    <row r="268" spans="1:20" x14ac:dyDescent="0.3">
      <c r="A268" s="3">
        <v>20133</v>
      </c>
      <c r="B268" s="4">
        <f t="shared" si="8"/>
        <v>5.0832106976961548E-2</v>
      </c>
      <c r="C268" s="4">
        <f t="shared" si="9"/>
        <v>5.2152748720887418E-2</v>
      </c>
      <c r="D268" s="5">
        <v>2.0459642223662183E-2</v>
      </c>
      <c r="E268" s="5">
        <v>2.1068305836114038E-2</v>
      </c>
      <c r="F268" s="5">
        <v>5.612084089084475E-2</v>
      </c>
      <c r="G268" s="5">
        <v>0.36456407100984578</v>
      </c>
      <c r="H268" s="10">
        <v>2.074712258036467E-3</v>
      </c>
      <c r="I268" s="5">
        <v>0.33352148460607534</v>
      </c>
      <c r="J268" s="5">
        <v>1.0118700518092449E-2</v>
      </c>
      <c r="K268" s="11">
        <v>2.0000000000000001E-4</v>
      </c>
      <c r="L268" s="11">
        <v>3.4200000000000001E-2</v>
      </c>
      <c r="M268" s="11">
        <v>-1.9116216313000089E-2</v>
      </c>
      <c r="N268" s="5">
        <v>3.4000000000000002E-2</v>
      </c>
      <c r="O268" s="5">
        <v>8.3000000000000018E-3</v>
      </c>
      <c r="P268" s="5">
        <v>1.618722419700025E-2</v>
      </c>
      <c r="Q268" s="5">
        <v>2.7622653145129572E-3</v>
      </c>
      <c r="R268" s="10">
        <v>3.4551500924999999E-2</v>
      </c>
      <c r="S268" s="5">
        <v>5.2277748720887418E-2</v>
      </c>
      <c r="T268" s="5">
        <v>1.25E-4</v>
      </c>
    </row>
    <row r="269" spans="1:20" x14ac:dyDescent="0.3">
      <c r="A269" s="3">
        <v>20134</v>
      </c>
      <c r="B269" s="4">
        <f t="shared" si="8"/>
        <v>0.10115025254730298</v>
      </c>
      <c r="C269" s="4">
        <f t="shared" si="9"/>
        <v>0.10644819727880817</v>
      </c>
      <c r="D269" s="5">
        <v>1.8931400868736136E-2</v>
      </c>
      <c r="E269" s="5">
        <v>1.9377478311526197E-2</v>
      </c>
      <c r="F269" s="5">
        <v>5.421021878854769E-2</v>
      </c>
      <c r="G269" s="5">
        <v>0.34922199710316487</v>
      </c>
      <c r="H269" s="10">
        <v>2.8282839785522969E-3</v>
      </c>
      <c r="I269" s="5">
        <v>0.30440812564171549</v>
      </c>
      <c r="J269" s="5">
        <v>1.214394603236147E-2</v>
      </c>
      <c r="K269" s="11">
        <v>7.000000000000001E-4</v>
      </c>
      <c r="L269" s="11">
        <v>3.6700000000000003E-2</v>
      </c>
      <c r="M269" s="11">
        <v>-3.157226694400006E-2</v>
      </c>
      <c r="N269" s="5">
        <v>3.6000000000000004E-2</v>
      </c>
      <c r="O269" s="5">
        <v>7.6000000000000026E-3</v>
      </c>
      <c r="P269" s="5">
        <v>4.4093270651999972E-2</v>
      </c>
      <c r="Q269" s="5">
        <v>-4.6978633263434766E-3</v>
      </c>
      <c r="R269" s="10">
        <v>3.4925469084000002E-2</v>
      </c>
      <c r="S269" s="5">
        <v>0.10649819727880816</v>
      </c>
      <c r="T269" s="5">
        <v>5.0000000000000002E-5</v>
      </c>
    </row>
    <row r="270" spans="1:20" x14ac:dyDescent="0.3">
      <c r="A270" s="3">
        <v>20141</v>
      </c>
      <c r="B270" s="4">
        <f t="shared" si="8"/>
        <v>1.7308640513376921E-2</v>
      </c>
      <c r="C270" s="4">
        <f t="shared" si="9"/>
        <v>1.7462358408823188E-2</v>
      </c>
      <c r="D270" s="5">
        <v>1.9348878447721322E-2</v>
      </c>
      <c r="E270" s="5">
        <v>1.9483007917828678E-2</v>
      </c>
      <c r="F270" s="5">
        <v>5.3863080423427377E-2</v>
      </c>
      <c r="G270" s="5">
        <v>0.35922339189694136</v>
      </c>
      <c r="H270" s="10">
        <v>3.426185690188125E-3</v>
      </c>
      <c r="I270" s="5">
        <v>0.35061606571043513</v>
      </c>
      <c r="J270" s="5">
        <v>1.6416603180449161E-2</v>
      </c>
      <c r="K270" s="11">
        <v>5.0000000000000001E-4</v>
      </c>
      <c r="L270" s="11">
        <v>3.3099999999999997E-2</v>
      </c>
      <c r="M270" s="11">
        <v>6.9299934775999938E-2</v>
      </c>
      <c r="N270" s="5">
        <v>3.2599999999999997E-2</v>
      </c>
      <c r="O270" s="5">
        <v>6.8000000000000005E-3</v>
      </c>
      <c r="P270" s="5">
        <v>-1.2331027080000112E-2</v>
      </c>
      <c r="Q270" s="5">
        <v>1.3919819437114178E-2</v>
      </c>
      <c r="R270" s="10">
        <v>3.5066950462999999E-2</v>
      </c>
      <c r="S270" s="5">
        <v>1.7637358408823189E-2</v>
      </c>
      <c r="T270" s="5">
        <v>1.7500000000000003E-4</v>
      </c>
    </row>
    <row r="271" spans="1:20" x14ac:dyDescent="0.3">
      <c r="A271" s="3">
        <v>20142</v>
      </c>
      <c r="B271" s="4">
        <f t="shared" si="8"/>
        <v>4.9875093984518414E-2</v>
      </c>
      <c r="C271" s="4">
        <f t="shared" si="9"/>
        <v>5.1146186966864501E-2</v>
      </c>
      <c r="D271" s="5">
        <v>1.9069536124292248E-2</v>
      </c>
      <c r="E271" s="5">
        <v>1.9432969321065204E-2</v>
      </c>
      <c r="F271" s="5">
        <v>5.2606071736479902E-2</v>
      </c>
      <c r="G271" s="5">
        <v>0.3624968657575775</v>
      </c>
      <c r="H271" s="10">
        <v>2.1998964184987706E-3</v>
      </c>
      <c r="I271" s="5">
        <v>0.34292845851211773</v>
      </c>
      <c r="J271" s="5">
        <v>1.3885426240707151E-2</v>
      </c>
      <c r="K271" s="11">
        <v>4.0000000000000002E-4</v>
      </c>
      <c r="L271" s="11">
        <v>3.0700000000000002E-2</v>
      </c>
      <c r="M271" s="11">
        <v>4.3888727525000171E-2</v>
      </c>
      <c r="N271" s="5">
        <v>3.0300000000000001E-2</v>
      </c>
      <c r="O271" s="5">
        <v>5.4999999999999979E-3</v>
      </c>
      <c r="P271" s="5">
        <v>-6.7177259250001953E-3</v>
      </c>
      <c r="Q271" s="5">
        <v>8.6756696135728006E-3</v>
      </c>
      <c r="R271" s="10">
        <v>3.5650155092000001E-2</v>
      </c>
      <c r="S271" s="5">
        <v>5.1271186966864501E-2</v>
      </c>
      <c r="T271" s="5">
        <v>1.25E-4</v>
      </c>
    </row>
    <row r="272" spans="1:20" x14ac:dyDescent="0.3">
      <c r="A272" s="3">
        <v>20143</v>
      </c>
      <c r="B272" s="4">
        <f t="shared" si="8"/>
        <v>1.0807811792177357E-2</v>
      </c>
      <c r="C272" s="4">
        <f t="shared" si="9"/>
        <v>1.0867513810418384E-2</v>
      </c>
      <c r="D272" s="5">
        <v>1.9517723710272349E-2</v>
      </c>
      <c r="E272" s="5">
        <v>1.921492849375455E-2</v>
      </c>
      <c r="F272" s="5">
        <v>5.3724350881462671E-2</v>
      </c>
      <c r="G272" s="5">
        <v>0.36329380234553649</v>
      </c>
      <c r="H272" s="10">
        <v>2.2163468406523265E-3</v>
      </c>
      <c r="I272" s="5">
        <v>0.33857618128370165</v>
      </c>
      <c r="J272" s="5">
        <v>7.991418162515404E-3</v>
      </c>
      <c r="K272" s="11">
        <v>2.0000000000000001E-4</v>
      </c>
      <c r="L272" s="11">
        <v>2.9499999999999998E-2</v>
      </c>
      <c r="M272" s="11">
        <v>2.5082554389999956E-2</v>
      </c>
      <c r="N272" s="5">
        <v>2.93E-2</v>
      </c>
      <c r="O272" s="5">
        <v>6.8999999999999964E-3</v>
      </c>
      <c r="P272" s="5">
        <v>-1.5129229813999778E-2</v>
      </c>
      <c r="Q272" s="5">
        <v>-1.3090378152493809E-3</v>
      </c>
      <c r="R272" s="10">
        <v>3.5986793401999999E-2</v>
      </c>
      <c r="S272" s="5">
        <v>1.0967513810418383E-2</v>
      </c>
      <c r="T272" s="5">
        <v>1E-4</v>
      </c>
    </row>
    <row r="273" spans="1:20" x14ac:dyDescent="0.3">
      <c r="A273" s="3">
        <v>20144</v>
      </c>
      <c r="B273" s="4">
        <f t="shared" si="8"/>
        <v>4.8419274007027703E-2</v>
      </c>
      <c r="C273" s="4">
        <f t="shared" si="9"/>
        <v>4.9613118071169075E-2</v>
      </c>
      <c r="D273" s="5">
        <v>1.9157385542148693E-2</v>
      </c>
      <c r="E273" s="5">
        <v>1.9077144601718908E-2</v>
      </c>
      <c r="F273" s="5">
        <v>4.9691582884064306E-2</v>
      </c>
      <c r="G273" s="5">
        <v>0.38552576573873465</v>
      </c>
      <c r="H273" s="10">
        <v>5.0870916926493816E-3</v>
      </c>
      <c r="I273" s="5">
        <v>0.32375567172209951</v>
      </c>
      <c r="J273" s="5">
        <v>5.6250117336518477E-3</v>
      </c>
      <c r="K273" s="11">
        <v>2.9999999999999997E-4</v>
      </c>
      <c r="L273" s="11">
        <v>2.4E-2</v>
      </c>
      <c r="M273" s="11">
        <v>9.0182282000000002E-2</v>
      </c>
      <c r="N273" s="5">
        <v>2.3699999999999999E-2</v>
      </c>
      <c r="O273" s="5">
        <v>9.5000000000000015E-3</v>
      </c>
      <c r="P273" s="5">
        <v>-3.0957568724999884E-2</v>
      </c>
      <c r="Q273" s="5">
        <v>-1.3523448626439394E-2</v>
      </c>
      <c r="R273" s="10">
        <v>3.5813409980000002E-2</v>
      </c>
      <c r="S273" s="5">
        <v>4.9663118071169077E-2</v>
      </c>
      <c r="T273" s="5">
        <v>5.0000000000000002E-5</v>
      </c>
    </row>
    <row r="274" spans="1:20" x14ac:dyDescent="0.3">
      <c r="A274" s="3">
        <v>20151</v>
      </c>
      <c r="B274" s="4">
        <f t="shared" si="8"/>
        <v>1.0358721230351083E-2</v>
      </c>
      <c r="C274" s="4">
        <f t="shared" si="9"/>
        <v>1.0413339459574058E-2</v>
      </c>
      <c r="D274" s="5">
        <v>1.9733453887013561E-2</v>
      </c>
      <c r="E274" s="5">
        <v>1.9390168613417396E-2</v>
      </c>
      <c r="F274" s="5">
        <v>4.7995785624742639E-2</v>
      </c>
      <c r="G274" s="5">
        <v>0.41114972137971695</v>
      </c>
      <c r="H274" s="10">
        <v>4.7605439345056533E-3</v>
      </c>
      <c r="I274" s="5">
        <v>0.30745404508970464</v>
      </c>
      <c r="J274" s="5">
        <v>-6.8897072679604985E-3</v>
      </c>
      <c r="K274" s="11">
        <v>2.9999999999999997E-4</v>
      </c>
      <c r="L274" s="11">
        <v>2.23E-2</v>
      </c>
      <c r="M274" s="11">
        <v>2.8795949440999946E-2</v>
      </c>
      <c r="N274" s="5">
        <v>2.1999999999999999E-2</v>
      </c>
      <c r="O274" s="5">
        <v>9.0000000000000011E-3</v>
      </c>
      <c r="P274" s="5">
        <v>3.1379531190001142E-3</v>
      </c>
      <c r="Q274" s="5">
        <v>5.5661550517009939E-3</v>
      </c>
      <c r="R274" s="10">
        <v>3.5387882533000001E-2</v>
      </c>
      <c r="S274" s="5">
        <v>1.0488339459574059E-2</v>
      </c>
      <c r="T274" s="5">
        <v>7.4999999999999993E-5</v>
      </c>
    </row>
    <row r="275" spans="1:20" x14ac:dyDescent="0.3">
      <c r="A275" s="3">
        <v>20152</v>
      </c>
      <c r="B275" s="4">
        <f t="shared" si="8"/>
        <v>1.896562662418452E-3</v>
      </c>
      <c r="C275" s="4">
        <f t="shared" si="9"/>
        <v>1.8985046520681365E-3</v>
      </c>
      <c r="D275" s="5">
        <v>2.0232561349152432E-2</v>
      </c>
      <c r="E275" s="5">
        <v>1.9807441398758733E-2</v>
      </c>
      <c r="F275" s="5">
        <v>4.6003361467706679E-2</v>
      </c>
      <c r="G275" s="5">
        <v>0.43980615119517374</v>
      </c>
      <c r="H275" s="10">
        <v>2.5134957759241328E-3</v>
      </c>
      <c r="I275" s="5">
        <v>0.31018683266447256</v>
      </c>
      <c r="J275" s="5">
        <v>-8.7253565971815543E-3</v>
      </c>
      <c r="K275" s="11">
        <v>2.0000000000000001E-4</v>
      </c>
      <c r="L275" s="11">
        <v>2.6100000000000002E-2</v>
      </c>
      <c r="M275" s="11">
        <v>-6.9095525500000088E-2</v>
      </c>
      <c r="N275" s="5">
        <v>2.5900000000000003E-2</v>
      </c>
      <c r="O275" s="5">
        <v>9.3999999999999917E-3</v>
      </c>
      <c r="P275" s="5">
        <v>-3.7977119399998926E-3</v>
      </c>
      <c r="Q275" s="5">
        <v>1.066834943397188E-2</v>
      </c>
      <c r="R275" s="10">
        <v>3.5183760552000003E-2</v>
      </c>
      <c r="S275" s="5">
        <v>1.9735046520681365E-3</v>
      </c>
      <c r="T275" s="5">
        <v>7.4999999999999993E-5</v>
      </c>
    </row>
    <row r="276" spans="1:20" x14ac:dyDescent="0.3">
      <c r="A276" s="3">
        <v>20153</v>
      </c>
      <c r="B276" s="4">
        <f t="shared" si="8"/>
        <v>-6.578297739332245E-2</v>
      </c>
      <c r="C276" s="4">
        <f t="shared" si="9"/>
        <v>-6.3669135398705667E-2</v>
      </c>
      <c r="D276" s="5">
        <v>2.2140485235855042E-2</v>
      </c>
      <c r="E276" s="5">
        <v>2.1555028113813806E-2</v>
      </c>
      <c r="F276" s="5">
        <v>4.7218011505381512E-2</v>
      </c>
      <c r="G276" s="5">
        <v>0.4688991452622196</v>
      </c>
      <c r="H276" s="10">
        <v>1.1060219151363205E-2</v>
      </c>
      <c r="I276" s="5">
        <v>0.33561195477963979</v>
      </c>
      <c r="J276" s="5">
        <v>-1.3637638010012807E-2</v>
      </c>
      <c r="K276" s="11">
        <v>2.0000000000000001E-4</v>
      </c>
      <c r="L276" s="11">
        <v>2.4E-2</v>
      </c>
      <c r="M276" s="11">
        <v>5.2133506952000142E-2</v>
      </c>
      <c r="N276" s="5">
        <v>2.3800000000000002E-2</v>
      </c>
      <c r="O276" s="5">
        <v>1.2699999999999996E-2</v>
      </c>
      <c r="P276" s="5">
        <v>-2.1567006681000089E-2</v>
      </c>
      <c r="Q276" s="5">
        <v>-2.9039800869937737E-3</v>
      </c>
      <c r="R276" s="10">
        <v>3.4955446979E-2</v>
      </c>
      <c r="S276" s="5">
        <v>-6.3619135398705673E-2</v>
      </c>
      <c r="T276" s="5">
        <v>5.0000000000000002E-5</v>
      </c>
    </row>
    <row r="277" spans="1:20" x14ac:dyDescent="0.3">
      <c r="A277" s="3">
        <v>20154</v>
      </c>
      <c r="B277" s="4">
        <f t="shared" si="8"/>
        <v>6.810236597247761E-2</v>
      </c>
      <c r="C277" s="4">
        <f t="shared" si="9"/>
        <v>7.04784068168961E-2</v>
      </c>
      <c r="D277" s="5">
        <v>2.1227574495022866E-2</v>
      </c>
      <c r="E277" s="5">
        <v>2.0855451183281106E-2</v>
      </c>
      <c r="F277" s="5">
        <v>4.2334903420726294E-2</v>
      </c>
      <c r="G277" s="5">
        <v>0.50142017058742794</v>
      </c>
      <c r="H277" s="10">
        <v>5.5761514100095477E-3</v>
      </c>
      <c r="I277" s="5">
        <v>0.31364881437793796</v>
      </c>
      <c r="J277" s="5">
        <v>-2.2251550295840687E-2</v>
      </c>
      <c r="K277" s="11">
        <v>2.3E-3</v>
      </c>
      <c r="L277" s="11">
        <v>2.4299999999999999E-2</v>
      </c>
      <c r="M277" s="11">
        <v>-1.3939665789999833E-2</v>
      </c>
      <c r="N277" s="5">
        <v>2.1999999999999999E-2</v>
      </c>
      <c r="O277" s="5">
        <v>1.4900000000000004E-2</v>
      </c>
      <c r="P277" s="5">
        <v>1.794366578999973E-2</v>
      </c>
      <c r="Q277" s="5">
        <v>-5.9677656601314633E-3</v>
      </c>
      <c r="R277" s="10">
        <v>3.4332926989E-2</v>
      </c>
      <c r="S277" s="5">
        <v>7.0528406816896094E-2</v>
      </c>
      <c r="T277" s="5">
        <v>5.0000000000000002E-5</v>
      </c>
    </row>
    <row r="278" spans="1:20" x14ac:dyDescent="0.3">
      <c r="A278" s="3">
        <v>20161</v>
      </c>
      <c r="B278" s="4">
        <f t="shared" si="8"/>
        <v>1.2504843749139839E-2</v>
      </c>
      <c r="C278" s="4">
        <f t="shared" si="9"/>
        <v>1.2590591658347965E-2</v>
      </c>
      <c r="D278" s="5">
        <v>2.1301688365181228E-2</v>
      </c>
      <c r="E278" s="5">
        <v>2.2707410397984906E-2</v>
      </c>
      <c r="F278" s="5">
        <v>4.196646178643907E-2</v>
      </c>
      <c r="G278" s="5">
        <v>0.50758838030192477</v>
      </c>
      <c r="H278" s="10">
        <v>8.1770148183397014E-3</v>
      </c>
      <c r="I278" s="5">
        <v>0.32795479129594479</v>
      </c>
      <c r="J278" s="5">
        <v>-2.3709636559986553E-2</v>
      </c>
      <c r="K278" s="11">
        <v>2.8999999999999998E-3</v>
      </c>
      <c r="L278" s="11">
        <v>2.18E-2</v>
      </c>
      <c r="M278" s="11">
        <v>7.8075920168000135E-2</v>
      </c>
      <c r="N278" s="5">
        <v>1.89E-2</v>
      </c>
      <c r="O278" s="5">
        <v>1.3100000000000001E-2</v>
      </c>
      <c r="P278" s="5">
        <v>-4.4491350560003085E-3</v>
      </c>
      <c r="Q278" s="5">
        <v>6.7942078004439299E-3</v>
      </c>
      <c r="R278" s="10">
        <v>3.3981671138999997E-2</v>
      </c>
      <c r="S278" s="5">
        <v>1.3165591658347964E-2</v>
      </c>
      <c r="T278" s="5">
        <v>5.7499999999999999E-4</v>
      </c>
    </row>
    <row r="279" spans="1:20" x14ac:dyDescent="0.3">
      <c r="A279" s="3">
        <v>20162</v>
      </c>
      <c r="B279" s="4">
        <f t="shared" si="8"/>
        <v>2.4004881457870341E-2</v>
      </c>
      <c r="C279" s="4">
        <f t="shared" si="9"/>
        <v>2.4312932038360466E-2</v>
      </c>
      <c r="D279" s="5">
        <v>2.1182869451878618E-2</v>
      </c>
      <c r="E279" s="5">
        <v>2.120216379874101E-2</v>
      </c>
      <c r="F279" s="5">
        <v>4.1412957510267474E-2</v>
      </c>
      <c r="G279" s="5">
        <v>0.51150342128129267</v>
      </c>
      <c r="H279" s="10">
        <v>4.6777410015145481E-3</v>
      </c>
      <c r="I279" s="5">
        <v>0.32347536167058649</v>
      </c>
      <c r="J279" s="5">
        <v>-2.8679323390465056E-2</v>
      </c>
      <c r="K279" s="11">
        <v>2.7000000000000001E-3</v>
      </c>
      <c r="L279" s="11">
        <v>1.7899999999999999E-2</v>
      </c>
      <c r="M279" s="11">
        <v>6.2025075860000056E-2</v>
      </c>
      <c r="N279" s="5">
        <v>1.5199999999999998E-2</v>
      </c>
      <c r="O279" s="5">
        <v>1.0299999999999997E-2</v>
      </c>
      <c r="P279" s="5">
        <v>-7.4900951880001454E-3</v>
      </c>
      <c r="Q279" s="5">
        <v>1.2119328775636928E-2</v>
      </c>
      <c r="R279" s="10">
        <v>3.3898314829999998E-2</v>
      </c>
      <c r="S279" s="5">
        <v>2.5037932038360466E-2</v>
      </c>
      <c r="T279" s="5">
        <v>7.2499999999999995E-4</v>
      </c>
    </row>
    <row r="280" spans="1:20" x14ac:dyDescent="0.3">
      <c r="A280" s="3">
        <v>20163</v>
      </c>
      <c r="B280" s="4">
        <f t="shared" si="8"/>
        <v>3.693550172935945E-2</v>
      </c>
      <c r="C280" s="4">
        <f t="shared" si="9"/>
        <v>3.7651491204400346E-2</v>
      </c>
      <c r="D280" s="5">
        <v>2.0765721661851481E-2</v>
      </c>
      <c r="E280" s="5">
        <v>2.0740086739787979E-2</v>
      </c>
      <c r="F280" s="5">
        <v>4.1088056376742753E-2</v>
      </c>
      <c r="G280" s="5">
        <v>0.50539556973557875</v>
      </c>
      <c r="H280" s="10">
        <v>2.4299392850865775E-3</v>
      </c>
      <c r="I280" s="5">
        <v>0.31679388687551713</v>
      </c>
      <c r="J280" s="5">
        <v>-3.2607113216422866E-2</v>
      </c>
      <c r="K280" s="11">
        <v>2.8999999999999998E-3</v>
      </c>
      <c r="L280" s="11">
        <v>1.9599999999999999E-2</v>
      </c>
      <c r="M280" s="11">
        <v>-1.8338833840000013E-2</v>
      </c>
      <c r="N280" s="5">
        <v>1.67E-2</v>
      </c>
      <c r="O280" s="5">
        <v>9.0000000000000011E-3</v>
      </c>
      <c r="P280" s="5">
        <v>3.226697736000006E-2</v>
      </c>
      <c r="Q280" s="5">
        <v>1.701117758839521E-3</v>
      </c>
      <c r="R280" s="10">
        <v>3.4037447413000001E-2</v>
      </c>
      <c r="S280" s="5">
        <v>3.8326491204400348E-2</v>
      </c>
      <c r="T280" s="5">
        <v>6.7500000000000004E-4</v>
      </c>
    </row>
    <row r="281" spans="1:20" x14ac:dyDescent="0.3">
      <c r="A281" s="3">
        <v>20164</v>
      </c>
      <c r="B281" s="4">
        <f t="shared" si="8"/>
        <v>3.5375907572007731E-2</v>
      </c>
      <c r="C281" s="4">
        <f t="shared" si="9"/>
        <v>3.6035185851420376E-2</v>
      </c>
      <c r="D281" s="5">
        <v>2.0412717126935882E-2</v>
      </c>
      <c r="E281" s="5">
        <v>2.0784243970737745E-2</v>
      </c>
      <c r="F281" s="5">
        <v>4.2231880044487524E-2</v>
      </c>
      <c r="G281" s="5">
        <v>0.48334852972287534</v>
      </c>
      <c r="H281" s="10">
        <v>1.8344459871401713E-3</v>
      </c>
      <c r="I281" s="5">
        <v>0.29347909687996521</v>
      </c>
      <c r="J281" s="5">
        <v>-2.5107883572043785E-2</v>
      </c>
      <c r="K281" s="11">
        <v>5.1000000000000004E-3</v>
      </c>
      <c r="L281" s="11">
        <v>2.7199999999999998E-2</v>
      </c>
      <c r="M281" s="11">
        <v>-9.4609450902000014E-2</v>
      </c>
      <c r="N281" s="5">
        <v>2.2099999999999998E-2</v>
      </c>
      <c r="O281" s="5">
        <v>7.7000000000000055E-3</v>
      </c>
      <c r="P281" s="5">
        <v>2.4102594572000036E-2</v>
      </c>
      <c r="Q281" s="5">
        <v>1.6568086551593808E-5</v>
      </c>
      <c r="R281" s="10">
        <v>3.3950404517000002E-2</v>
      </c>
      <c r="S281" s="5">
        <v>3.6760185851420379E-2</v>
      </c>
      <c r="T281" s="5">
        <v>7.2499999999999995E-4</v>
      </c>
    </row>
    <row r="282" spans="1:20" x14ac:dyDescent="0.3">
      <c r="A282" s="3">
        <v>20171</v>
      </c>
      <c r="B282" s="4">
        <f t="shared" si="8"/>
        <v>5.8288336338533704E-2</v>
      </c>
      <c r="C282" s="4">
        <f t="shared" si="9"/>
        <v>6.0097120364971085E-2</v>
      </c>
      <c r="D282" s="5">
        <v>1.963094417490838E-2</v>
      </c>
      <c r="E282" s="5">
        <v>1.962330386663606E-2</v>
      </c>
      <c r="F282" s="5">
        <v>4.2446841450090741E-2</v>
      </c>
      <c r="G282" s="5">
        <v>0.462483037707071</v>
      </c>
      <c r="H282" s="10">
        <v>1.1347881712548227E-3</v>
      </c>
      <c r="I282" s="5">
        <v>0.28159888933263938</v>
      </c>
      <c r="J282" s="5">
        <v>-1.6198860368007217E-2</v>
      </c>
      <c r="K282" s="11">
        <v>7.4000000000000003E-3</v>
      </c>
      <c r="L282" s="11">
        <v>2.7400000000000001E-2</v>
      </c>
      <c r="M282" s="11">
        <v>1.3986674359999896E-2</v>
      </c>
      <c r="N282" s="5">
        <v>0.02</v>
      </c>
      <c r="O282" s="5">
        <v>6.6999999999999976E-3</v>
      </c>
      <c r="P282" s="5">
        <v>-1.2493383359999388E-3</v>
      </c>
      <c r="Q282" s="5">
        <v>9.8122866894196914E-3</v>
      </c>
      <c r="R282" s="10">
        <v>3.3994041987999997E-2</v>
      </c>
      <c r="S282" s="5">
        <v>6.1372120364971083E-2</v>
      </c>
      <c r="T282" s="5">
        <v>1.2750000000000001E-3</v>
      </c>
    </row>
    <row r="283" spans="1:20" x14ac:dyDescent="0.3">
      <c r="A283" s="3">
        <v>20172</v>
      </c>
      <c r="B283" s="4">
        <f t="shared" si="8"/>
        <v>2.8915409411509399E-2</v>
      </c>
      <c r="C283" s="4">
        <f t="shared" si="9"/>
        <v>2.9391792935104983E-2</v>
      </c>
      <c r="D283" s="5">
        <v>1.948453672068572E-2</v>
      </c>
      <c r="E283" s="5">
        <v>1.9578330898208613E-2</v>
      </c>
      <c r="F283" s="5">
        <v>4.292299023987816E-2</v>
      </c>
      <c r="G283" s="5">
        <v>0.45394173639336421</v>
      </c>
      <c r="H283" s="10">
        <v>1.3412054992556718E-3</v>
      </c>
      <c r="I283" s="5">
        <v>0.27254522752308352</v>
      </c>
      <c r="J283" s="5">
        <v>-9.7849906484052881E-3</v>
      </c>
      <c r="K283" s="11">
        <v>9.7999999999999997E-3</v>
      </c>
      <c r="L283" s="11">
        <v>2.58E-2</v>
      </c>
      <c r="M283" s="11">
        <v>2.9498570900000187E-2</v>
      </c>
      <c r="N283" s="5">
        <v>1.6E-2</v>
      </c>
      <c r="O283" s="5">
        <v>6.9000000000000034E-3</v>
      </c>
      <c r="P283" s="5">
        <v>2.2337644907999721E-2</v>
      </c>
      <c r="Q283" s="5">
        <v>4.7333686080042181E-3</v>
      </c>
      <c r="R283" s="10">
        <v>3.4037898183000001E-2</v>
      </c>
      <c r="S283" s="5">
        <v>3.1241792935104984E-2</v>
      </c>
      <c r="T283" s="5">
        <v>1.8500000000000001E-3</v>
      </c>
    </row>
    <row r="284" spans="1:20" x14ac:dyDescent="0.3">
      <c r="A284" s="3">
        <v>20173</v>
      </c>
      <c r="B284" s="4">
        <f t="shared" si="8"/>
        <v>4.012488900817348E-2</v>
      </c>
      <c r="C284" s="4">
        <f t="shared" si="9"/>
        <v>4.1041073016842296E-2</v>
      </c>
      <c r="D284" s="5">
        <v>1.9121166062848013E-2</v>
      </c>
      <c r="E284" s="5">
        <v>1.9490261520889757E-2</v>
      </c>
      <c r="F284" s="5">
        <v>4.2502856063521853E-2</v>
      </c>
      <c r="G284" s="5">
        <v>0.44987955713542715</v>
      </c>
      <c r="H284" s="10">
        <v>1.2694666081433377E-3</v>
      </c>
      <c r="I284" s="5">
        <v>0.25970616679130332</v>
      </c>
      <c r="J284" s="5">
        <v>-1.1086143571425389E-2</v>
      </c>
      <c r="K284" s="11">
        <v>1.03E-2</v>
      </c>
      <c r="L284" s="11">
        <v>2.5899999999999999E-2</v>
      </c>
      <c r="M284" s="11">
        <v>5.0864696149999222E-3</v>
      </c>
      <c r="N284" s="5">
        <v>1.5599999999999999E-2</v>
      </c>
      <c r="O284" s="5">
        <v>6.6999999999999976E-3</v>
      </c>
      <c r="P284" s="5">
        <v>1.2526180725000113E-2</v>
      </c>
      <c r="Q284" s="5">
        <v>7.6095609397643926E-3</v>
      </c>
      <c r="R284" s="10">
        <v>3.4001059583000003E-2</v>
      </c>
      <c r="S284" s="5">
        <v>4.3491073016842297E-2</v>
      </c>
      <c r="T284" s="5">
        <v>2.4499999999999999E-3</v>
      </c>
    </row>
    <row r="285" spans="1:20" x14ac:dyDescent="0.3">
      <c r="A285" s="3">
        <v>20174</v>
      </c>
      <c r="B285" s="4">
        <f t="shared" si="8"/>
        <v>6.3267479666253082E-2</v>
      </c>
      <c r="C285" s="4">
        <f t="shared" si="9"/>
        <v>6.5479928114250852E-2</v>
      </c>
      <c r="D285" s="5">
        <v>1.8301853066568959E-2</v>
      </c>
      <c r="E285" s="5">
        <v>1.8930385505382844E-2</v>
      </c>
      <c r="F285" s="5">
        <v>4.1097989460884395E-2</v>
      </c>
      <c r="G285" s="5">
        <v>0.44532234560982631</v>
      </c>
      <c r="H285" s="10">
        <v>8.1760305823435362E-4</v>
      </c>
      <c r="I285" s="5">
        <v>0.2353933430957158</v>
      </c>
      <c r="J285" s="5">
        <v>-1.98797967425457E-2</v>
      </c>
      <c r="K285" s="11">
        <v>1.32E-2</v>
      </c>
      <c r="L285" s="11">
        <v>2.5399999999999999E-2</v>
      </c>
      <c r="M285" s="11">
        <v>1.251873226399991E-2</v>
      </c>
      <c r="N285" s="5">
        <v>1.2199999999999999E-2</v>
      </c>
      <c r="O285" s="5">
        <v>7.0999999999999952E-3</v>
      </c>
      <c r="P285" s="5">
        <v>2.2942616856000297E-2</v>
      </c>
      <c r="Q285" s="5">
        <v>-1.195207824357114E-3</v>
      </c>
      <c r="R285" s="10">
        <v>3.4449500574000001E-2</v>
      </c>
      <c r="S285" s="5">
        <v>6.8054928114250846E-2</v>
      </c>
      <c r="T285" s="5">
        <v>2.575E-3</v>
      </c>
    </row>
    <row r="286" spans="1:20" x14ac:dyDescent="0.3">
      <c r="A286" s="3">
        <v>20181</v>
      </c>
      <c r="B286" s="4">
        <f t="shared" si="8"/>
        <v>-1.1034711947067337E-2</v>
      </c>
      <c r="C286" s="4">
        <f t="shared" si="9"/>
        <v>-1.1010267211173961E-2</v>
      </c>
      <c r="D286" s="5">
        <v>1.8934301797730761E-2</v>
      </c>
      <c r="E286" s="5">
        <v>1.8425262300355304E-2</v>
      </c>
      <c r="F286" s="5">
        <v>4.371286735053221E-2</v>
      </c>
      <c r="G286" s="5">
        <v>0.43315167696269263</v>
      </c>
      <c r="H286" s="10">
        <v>9.3826647079962629E-3</v>
      </c>
      <c r="I286" s="5">
        <v>0.25953704729389693</v>
      </c>
      <c r="J286" s="5">
        <v>-1.8222298982752488E-2</v>
      </c>
      <c r="K286" s="11">
        <v>1.7000000000000001E-2</v>
      </c>
      <c r="L286" s="11">
        <v>2.8500000000000001E-2</v>
      </c>
      <c r="M286" s="11">
        <v>-2.8672134959999984E-2</v>
      </c>
      <c r="N286" s="5">
        <v>1.15E-2</v>
      </c>
      <c r="O286" s="5">
        <v>7.6999999999999985E-3</v>
      </c>
      <c r="P286" s="5">
        <v>-1.444728372400006E-2</v>
      </c>
      <c r="Q286" s="5">
        <v>1.2290892570297363E-2</v>
      </c>
      <c r="R286" s="10">
        <v>3.4864154298000001E-2</v>
      </c>
      <c r="S286" s="5">
        <v>-7.7102672111739601E-3</v>
      </c>
      <c r="T286" s="5">
        <v>3.3E-3</v>
      </c>
    </row>
    <row r="287" spans="1:20" x14ac:dyDescent="0.3">
      <c r="A287" s="3">
        <v>20182</v>
      </c>
      <c r="B287" s="4">
        <f t="shared" si="8"/>
        <v>2.9859825471541309E-2</v>
      </c>
      <c r="C287" s="4">
        <f t="shared" si="9"/>
        <v>3.0438918525839884E-2</v>
      </c>
      <c r="D287" s="5">
        <v>1.8757671012031952E-2</v>
      </c>
      <c r="E287" s="5">
        <v>1.8848503161968046E-2</v>
      </c>
      <c r="F287" s="5">
        <v>4.505641248248031E-2</v>
      </c>
      <c r="G287" s="5">
        <v>0.41631523635677087</v>
      </c>
      <c r="H287" s="10">
        <v>3.9082464212754336E-3</v>
      </c>
      <c r="I287" s="5">
        <v>0.25773739556127973</v>
      </c>
      <c r="J287" s="5">
        <v>-2.2101278105779776E-2</v>
      </c>
      <c r="K287" s="11">
        <v>1.9E-2</v>
      </c>
      <c r="L287" s="11">
        <v>2.9100000000000001E-2</v>
      </c>
      <c r="M287" s="11">
        <v>-8.9139319600017863E-4</v>
      </c>
      <c r="N287" s="5">
        <v>1.0100000000000001E-2</v>
      </c>
      <c r="O287" s="5">
        <v>8.7000000000000063E-3</v>
      </c>
      <c r="P287" s="5">
        <v>-1.7710734803999761E-2</v>
      </c>
      <c r="Q287" s="5">
        <v>9.7574072144706037E-3</v>
      </c>
      <c r="R287" s="10">
        <v>3.5079702164999997E-2</v>
      </c>
      <c r="S287" s="5">
        <v>3.4688918525839885E-2</v>
      </c>
      <c r="T287" s="5">
        <v>4.2500000000000003E-3</v>
      </c>
    </row>
    <row r="288" spans="1:20" x14ac:dyDescent="0.3">
      <c r="A288" s="3">
        <v>20183</v>
      </c>
      <c r="B288" s="4">
        <f t="shared" si="8"/>
        <v>6.9264041854417341E-2</v>
      </c>
      <c r="C288" s="4">
        <f t="shared" si="9"/>
        <v>7.2059816469332044E-2</v>
      </c>
      <c r="D288" s="5">
        <v>1.7961343428864046E-2</v>
      </c>
      <c r="E288" s="5">
        <v>1.8038474842441636E-2</v>
      </c>
      <c r="F288" s="5">
        <v>4.4746360647636561E-2</v>
      </c>
      <c r="G288" s="5">
        <v>0.40140344754077195</v>
      </c>
      <c r="H288" s="10">
        <v>1.355776509134771E-3</v>
      </c>
      <c r="I288" s="5">
        <v>0.23643422425695365</v>
      </c>
      <c r="J288" s="5">
        <v>-2.0834447976861042E-2</v>
      </c>
      <c r="K288" s="11">
        <v>2.1299999999999999E-2</v>
      </c>
      <c r="L288" s="11">
        <v>3.3399999999999999E-2</v>
      </c>
      <c r="M288" s="11">
        <v>-4.9997585583999915E-2</v>
      </c>
      <c r="N288" s="5">
        <v>1.21E-2</v>
      </c>
      <c r="O288" s="5">
        <v>8.9999999999999941E-3</v>
      </c>
      <c r="P288" s="5">
        <v>5.3764662623999926E-2</v>
      </c>
      <c r="Q288" s="5">
        <v>1.7857922369626245E-3</v>
      </c>
      <c r="R288" s="10">
        <v>3.5040018446999999E-2</v>
      </c>
      <c r="S288" s="5">
        <v>7.6809816469332048E-2</v>
      </c>
      <c r="T288" s="5">
        <v>4.7499999999999999E-3</v>
      </c>
    </row>
    <row r="289" spans="1:20" x14ac:dyDescent="0.3">
      <c r="A289" s="3">
        <v>20184</v>
      </c>
      <c r="B289" s="4">
        <f t="shared" si="8"/>
        <v>-0.15163363532962332</v>
      </c>
      <c r="C289" s="4">
        <f t="shared" si="9"/>
        <v>-0.14144616995026901</v>
      </c>
      <c r="D289" s="5">
        <v>2.1440524197545472E-2</v>
      </c>
      <c r="E289" s="5">
        <v>1.947277815664139E-2</v>
      </c>
      <c r="F289" s="5">
        <v>5.2811297046093698E-2</v>
      </c>
      <c r="G289" s="5">
        <v>0.40598367010058822</v>
      </c>
      <c r="H289" s="10">
        <v>1.4208345967668897E-2</v>
      </c>
      <c r="I289" s="5">
        <v>0.2681667871255593</v>
      </c>
      <c r="J289" s="5">
        <v>-1.922791014330778E-2</v>
      </c>
      <c r="K289" s="11">
        <v>2.3700000000000002E-2</v>
      </c>
      <c r="L289" s="11">
        <v>2.8400000000000002E-2</v>
      </c>
      <c r="M289" s="11">
        <v>7.8568057380000056E-2</v>
      </c>
      <c r="N289" s="5">
        <v>4.6999999999999993E-3</v>
      </c>
      <c r="O289" s="5">
        <v>1.1100000000000006E-2</v>
      </c>
      <c r="P289" s="5">
        <v>-6.793827258999996E-2</v>
      </c>
      <c r="Q289" s="5">
        <v>-4.7773917659315046E-3</v>
      </c>
      <c r="R289" s="10">
        <v>3.5014223610999998E-2</v>
      </c>
      <c r="S289" s="5">
        <v>-0.13612116995026902</v>
      </c>
      <c r="T289" s="5">
        <v>5.3249999999999999E-3</v>
      </c>
    </row>
    <row r="290" spans="1:20" x14ac:dyDescent="0.3">
      <c r="A290" s="3">
        <v>20191</v>
      </c>
      <c r="B290" s="4">
        <f t="shared" si="8"/>
        <v>0.12291570318013595</v>
      </c>
      <c r="C290" s="4">
        <f t="shared" si="9"/>
        <v>0.13156402039296794</v>
      </c>
      <c r="D290" s="5">
        <v>1.9382202706345074E-2</v>
      </c>
      <c r="E290" s="5">
        <v>1.9729614273602977E-2</v>
      </c>
      <c r="F290" s="5">
        <v>4.7413916400848084E-2</v>
      </c>
      <c r="G290" s="5">
        <v>0.4087872122286525</v>
      </c>
      <c r="H290" s="10">
        <v>4.6508661189566067E-3</v>
      </c>
      <c r="I290" s="5">
        <v>0.24426966880736453</v>
      </c>
      <c r="J290" s="5">
        <v>-2.3231497737981485E-2</v>
      </c>
      <c r="K290" s="11">
        <v>2.4E-2</v>
      </c>
      <c r="L290" s="11">
        <v>2.5699999999999997E-2</v>
      </c>
      <c r="M290" s="11">
        <v>4.3474775840000035E-2</v>
      </c>
      <c r="N290" s="5">
        <v>1.6999999999999967E-3</v>
      </c>
      <c r="O290" s="5">
        <v>1.0700000000000001E-2</v>
      </c>
      <c r="P290" s="5">
        <v>2.6094852629999998E-2</v>
      </c>
      <c r="Q290" s="5">
        <v>1.1817715029474707E-2</v>
      </c>
      <c r="R290" s="10">
        <v>3.4819215746999997E-2</v>
      </c>
      <c r="S290" s="5">
        <v>0.13748902039296795</v>
      </c>
      <c r="T290" s="5">
        <v>5.9250000000000006E-3</v>
      </c>
    </row>
    <row r="291" spans="1:20" x14ac:dyDescent="0.3">
      <c r="A291" s="3">
        <v>20192</v>
      </c>
      <c r="B291" s="4">
        <f t="shared" si="8"/>
        <v>3.5819960490809495E-2</v>
      </c>
      <c r="C291" s="4">
        <f t="shared" si="9"/>
        <v>3.668803962699952E-2</v>
      </c>
      <c r="D291" s="5">
        <v>1.9062491349108431E-2</v>
      </c>
      <c r="E291" s="5">
        <v>2.0376472002633039E-2</v>
      </c>
      <c r="F291" s="5">
        <v>4.5982676880565801E-2</v>
      </c>
      <c r="G291" s="5">
        <v>0.41455810410126503</v>
      </c>
      <c r="H291" s="10">
        <v>3.2708874511758971E-3</v>
      </c>
      <c r="I291" s="5">
        <v>0.23810523687469035</v>
      </c>
      <c r="J291" s="5">
        <v>-1.2538343192287265E-2</v>
      </c>
      <c r="K291" s="11">
        <v>2.1700000000000001E-2</v>
      </c>
      <c r="L291" s="11">
        <v>2.07E-2</v>
      </c>
      <c r="M291" s="11">
        <v>5.0545414879999973E-2</v>
      </c>
      <c r="N291" s="5">
        <v>-1.0000000000000009E-3</v>
      </c>
      <c r="O291" s="5">
        <v>1.04E-2</v>
      </c>
      <c r="P291" s="5">
        <v>1.2475857752000108E-2</v>
      </c>
      <c r="Q291" s="5">
        <v>7.6356598295841405E-3</v>
      </c>
      <c r="R291" s="10">
        <v>3.5001518496999999E-2</v>
      </c>
      <c r="S291" s="5">
        <v>4.2688039626999519E-2</v>
      </c>
      <c r="T291" s="5">
        <v>6.0000000000000001E-3</v>
      </c>
    </row>
    <row r="292" spans="1:20" x14ac:dyDescent="0.3">
      <c r="A292" s="3">
        <v>20193</v>
      </c>
      <c r="B292" s="4">
        <f t="shared" si="8"/>
        <v>1.1487927671113247E-2</v>
      </c>
      <c r="C292" s="4">
        <f t="shared" si="9"/>
        <v>1.1616848679009154E-2</v>
      </c>
      <c r="D292" s="5">
        <v>1.9222205192999647E-2</v>
      </c>
      <c r="E292" s="5">
        <v>1.9552465318690111E-2</v>
      </c>
      <c r="F292" s="5">
        <v>4.4646156683641018E-2</v>
      </c>
      <c r="G292" s="5">
        <v>0.43054557482308287</v>
      </c>
      <c r="H292" s="10">
        <v>5.5168430217504951E-3</v>
      </c>
      <c r="I292" s="5">
        <v>0.23530222472878221</v>
      </c>
      <c r="J292" s="5">
        <v>-1.0838111718759825E-2</v>
      </c>
      <c r="K292" s="11">
        <v>1.89E-2</v>
      </c>
      <c r="L292" s="11">
        <v>1.7000000000000001E-2</v>
      </c>
      <c r="M292" s="11">
        <v>6.1511287423999805E-2</v>
      </c>
      <c r="N292" s="5">
        <v>-1.8999999999999989E-3</v>
      </c>
      <c r="O292" s="5">
        <v>8.8000000000000057E-3</v>
      </c>
      <c r="P292" s="5">
        <v>7.3505409600027605E-4</v>
      </c>
      <c r="Q292" s="5">
        <v>2.4049066341849112E-3</v>
      </c>
      <c r="R292" s="10">
        <v>3.5004245125999998E-2</v>
      </c>
      <c r="S292" s="5">
        <v>1.7041848679009153E-2</v>
      </c>
      <c r="T292" s="5">
        <v>5.4250000000000001E-3</v>
      </c>
    </row>
    <row r="293" spans="1:20" x14ac:dyDescent="0.3">
      <c r="A293" s="3">
        <v>20194</v>
      </c>
      <c r="B293" s="4">
        <f t="shared" si="8"/>
        <v>8.1594659798820815E-2</v>
      </c>
      <c r="C293" s="4">
        <f t="shared" si="9"/>
        <v>8.5417620334265892E-2</v>
      </c>
      <c r="D293" s="5">
        <v>1.8026799111349197E-2</v>
      </c>
      <c r="E293" s="5">
        <v>1.8542182034455987E-2</v>
      </c>
      <c r="F293" s="5">
        <v>4.3169141429653175E-2</v>
      </c>
      <c r="G293" s="5">
        <v>0.41758530548320016</v>
      </c>
      <c r="H293" s="10">
        <v>2.3190443175015599E-3</v>
      </c>
      <c r="I293" s="5">
        <v>0.22193189681695102</v>
      </c>
      <c r="J293" s="5">
        <v>-7.1991511205915229E-3</v>
      </c>
      <c r="K293" s="11">
        <v>1.54E-2</v>
      </c>
      <c r="L293" s="11">
        <v>1.8600000000000002E-2</v>
      </c>
      <c r="M293" s="11">
        <v>-3.6089266203999992E-2</v>
      </c>
      <c r="N293" s="5">
        <v>3.2000000000000015E-3</v>
      </c>
      <c r="O293" s="5">
        <v>8.7000000000000029E-3</v>
      </c>
      <c r="P293" s="5">
        <v>2.9172298727999979E-2</v>
      </c>
      <c r="Q293" s="5">
        <v>8.3736110516086093E-4</v>
      </c>
      <c r="R293" s="10">
        <v>3.4515029401999998E-2</v>
      </c>
      <c r="S293" s="5">
        <v>9.0142620334265899E-2</v>
      </c>
      <c r="T293" s="5">
        <v>4.725E-3</v>
      </c>
    </row>
    <row r="294" spans="1:20" x14ac:dyDescent="0.3">
      <c r="A294" s="3">
        <v>20201</v>
      </c>
      <c r="B294" s="4">
        <f t="shared" si="8"/>
        <v>-0.21925834657579857</v>
      </c>
      <c r="C294" s="4">
        <f t="shared" si="9"/>
        <v>-0.19764380074905449</v>
      </c>
      <c r="D294" s="5">
        <v>2.3052245650714471E-2</v>
      </c>
      <c r="E294" s="5">
        <v>2.0167964331153445E-2</v>
      </c>
      <c r="F294" s="5">
        <v>4.5009073005776543E-2</v>
      </c>
      <c r="G294" s="5">
        <v>0.5121688608818028</v>
      </c>
      <c r="H294" s="10">
        <v>7.9048804560873723E-2</v>
      </c>
      <c r="I294" s="5">
        <v>0.30250451941808587</v>
      </c>
      <c r="J294" s="5">
        <v>-7.7002922667343352E-3</v>
      </c>
      <c r="K294" s="11">
        <v>2.8999999999999998E-3</v>
      </c>
      <c r="L294" s="11">
        <v>8.6999999999999994E-3</v>
      </c>
      <c r="M294" s="11">
        <v>0.19607341999999983</v>
      </c>
      <c r="N294" s="5">
        <v>5.7999999999999996E-3</v>
      </c>
      <c r="O294" s="5">
        <v>1.2699999999999999E-2</v>
      </c>
      <c r="P294" s="5">
        <v>-0.15267571731999974</v>
      </c>
      <c r="Q294" s="5">
        <v>4.4401379127849694E-3</v>
      </c>
      <c r="R294" s="10">
        <v>3.3464093468999999E-2</v>
      </c>
      <c r="S294" s="5">
        <v>-0.1937938007490545</v>
      </c>
      <c r="T294" s="5">
        <v>3.8500000000000001E-3</v>
      </c>
    </row>
    <row r="295" spans="1:20" x14ac:dyDescent="0.3">
      <c r="A295" s="3">
        <v>20202</v>
      </c>
      <c r="B295" s="4">
        <f t="shared" si="8"/>
        <v>0.18736376402580696</v>
      </c>
      <c r="C295" s="4">
        <f t="shared" si="9"/>
        <v>0.20621532645958282</v>
      </c>
      <c r="D295" s="5">
        <v>1.9250912528354952E-2</v>
      </c>
      <c r="E295" s="5">
        <v>1.9604906071501779E-2</v>
      </c>
      <c r="F295" s="5">
        <v>3.2006683245760885E-2</v>
      </c>
      <c r="G295" s="5">
        <v>0.60146539960227319</v>
      </c>
      <c r="H295" s="10">
        <v>2.5588122041033102E-2</v>
      </c>
      <c r="I295" s="5">
        <v>0.25685006864789978</v>
      </c>
      <c r="J295" s="5">
        <v>-1.684502389401335E-2</v>
      </c>
      <c r="K295" s="11">
        <v>1.6000000000000001E-3</v>
      </c>
      <c r="L295" s="11">
        <v>7.3000000000000001E-3</v>
      </c>
      <c r="M295" s="11">
        <v>7.1682705800002466E-4</v>
      </c>
      <c r="N295" s="5">
        <v>5.7000000000000002E-3</v>
      </c>
      <c r="O295" s="5">
        <v>1.2000000000000004E-2</v>
      </c>
      <c r="P295" s="5">
        <v>5.7908168549999806E-2</v>
      </c>
      <c r="Q295" s="5">
        <v>-1.2320089882416063E-3</v>
      </c>
      <c r="R295" s="10">
        <v>3.0418305156999999E-2</v>
      </c>
      <c r="S295" s="5">
        <v>0.20694032645958282</v>
      </c>
      <c r="T295" s="5">
        <v>7.2499999999999995E-4</v>
      </c>
    </row>
    <row r="296" spans="1:20" x14ac:dyDescent="0.3">
      <c r="A296" s="3">
        <v>20203</v>
      </c>
      <c r="B296" s="4">
        <f t="shared" si="8"/>
        <v>8.5641324779172162E-2</v>
      </c>
      <c r="C296" s="4">
        <f t="shared" si="9"/>
        <v>8.9451278076688026E-2</v>
      </c>
      <c r="D296" s="5">
        <v>1.7499624357451778E-2</v>
      </c>
      <c r="E296" s="5">
        <v>1.6813149896469263E-2</v>
      </c>
      <c r="F296" s="5">
        <v>2.920606601248885E-2</v>
      </c>
      <c r="G296" s="5">
        <v>0.59917773074842529</v>
      </c>
      <c r="H296" s="10">
        <v>7.2587797877472276E-3</v>
      </c>
      <c r="I296" s="5">
        <v>0.23864774293869706</v>
      </c>
      <c r="J296" s="5">
        <v>-5.6980768983531027E-3</v>
      </c>
      <c r="K296" s="11">
        <v>1.1000000000000001E-3</v>
      </c>
      <c r="L296" s="11">
        <v>6.8000000000000005E-3</v>
      </c>
      <c r="M296" s="11">
        <v>7.4075695999997748E-4</v>
      </c>
      <c r="N296" s="5">
        <v>5.7000000000000002E-3</v>
      </c>
      <c r="O296" s="5">
        <v>1.0499999999999999E-2</v>
      </c>
      <c r="P296" s="5">
        <v>1.262025816000012E-2</v>
      </c>
      <c r="Q296" s="5">
        <v>9.6316093670598679E-3</v>
      </c>
      <c r="R296" s="10">
        <v>3.1681832032E-2</v>
      </c>
      <c r="S296" s="5">
        <v>8.9851278076688024E-2</v>
      </c>
      <c r="T296" s="5">
        <v>4.0000000000000002E-4</v>
      </c>
    </row>
    <row r="297" spans="1:20" x14ac:dyDescent="0.3">
      <c r="A297" s="3">
        <v>20204</v>
      </c>
      <c r="B297" s="4">
        <f t="shared" si="8"/>
        <v>0.1175151009867608</v>
      </c>
      <c r="C297" s="4">
        <f t="shared" si="9"/>
        <v>0.12473290599318901</v>
      </c>
      <c r="D297" s="5">
        <v>1.5515910549060633E-2</v>
      </c>
      <c r="E297" s="5">
        <v>1.6091882974243688E-2</v>
      </c>
      <c r="F297" s="5">
        <v>2.5060768303040142E-2</v>
      </c>
      <c r="G297" s="5">
        <v>0.61913147918846467</v>
      </c>
      <c r="H297" s="10">
        <v>6.8313147702444574E-3</v>
      </c>
      <c r="I297" s="5">
        <v>0.21662210094071582</v>
      </c>
      <c r="J297" s="5">
        <v>-9.7881530232883296E-5</v>
      </c>
      <c r="K297" s="11">
        <v>8.9999999999999998E-4</v>
      </c>
      <c r="L297" s="11">
        <v>9.300000000000001E-3</v>
      </c>
      <c r="M297" s="11">
        <v>-2.6052044589999879E-2</v>
      </c>
      <c r="N297" s="5">
        <v>8.4000000000000012E-3</v>
      </c>
      <c r="O297" s="5">
        <v>9.0000000000000045E-3</v>
      </c>
      <c r="P297" s="5">
        <v>5.6984944589999698E-2</v>
      </c>
      <c r="Q297" s="5">
        <v>7.4535116028906501E-4</v>
      </c>
      <c r="R297" s="10">
        <v>3.2338666859999997E-2</v>
      </c>
      <c r="S297" s="5">
        <v>0.12500790599318901</v>
      </c>
      <c r="T297" s="5">
        <v>2.7500000000000002E-4</v>
      </c>
    </row>
    <row r="298" spans="1:20" x14ac:dyDescent="0.3">
      <c r="A298" s="3">
        <v>20211</v>
      </c>
      <c r="B298" s="4">
        <f t="shared" si="8"/>
        <v>5.7843454317961979E-2</v>
      </c>
      <c r="C298" s="4">
        <f t="shared" si="9"/>
        <v>5.9562513438669834E-2</v>
      </c>
      <c r="D298" s="5">
        <v>1.4506665692959695E-2</v>
      </c>
      <c r="E298" s="5">
        <v>1.5122308768981185E-2</v>
      </c>
      <c r="F298" s="5">
        <v>3.2268701121853358E-2</v>
      </c>
      <c r="G298" s="5">
        <v>0.44955840144229836</v>
      </c>
      <c r="H298" s="10">
        <v>6.0520475328140911E-3</v>
      </c>
      <c r="I298" s="5">
        <v>0.19383746367287163</v>
      </c>
      <c r="J298" s="5">
        <v>1.5718345038920091E-2</v>
      </c>
      <c r="K298" s="11">
        <v>2.9999999999999997E-4</v>
      </c>
      <c r="L298" s="11">
        <v>1.61E-2</v>
      </c>
      <c r="M298" s="11">
        <v>-0.11614093292799998</v>
      </c>
      <c r="N298" s="5">
        <v>1.5799999999999998E-2</v>
      </c>
      <c r="O298" s="5">
        <v>7.0000000000000027E-3</v>
      </c>
      <c r="P298" s="5">
        <v>1.3546542467999911E-2</v>
      </c>
      <c r="Q298" s="5">
        <v>1.6903798459731112E-2</v>
      </c>
      <c r="R298" s="10">
        <v>3.2792137008000002E-2</v>
      </c>
      <c r="S298" s="5">
        <v>5.9787513438669837E-2</v>
      </c>
      <c r="T298" s="5">
        <v>2.2499999999999999E-4</v>
      </c>
    </row>
    <row r="299" spans="1:20" x14ac:dyDescent="0.3">
      <c r="A299" s="3">
        <v>20212</v>
      </c>
      <c r="B299" s="4">
        <f t="shared" si="8"/>
        <v>8.2021108451171137E-2</v>
      </c>
      <c r="C299" s="4">
        <f t="shared" si="9"/>
        <v>8.548513326650968E-2</v>
      </c>
      <c r="D299" s="5">
        <v>1.3464814923657045E-2</v>
      </c>
      <c r="E299" s="5">
        <v>1.3763922003567023E-2</v>
      </c>
      <c r="F299" s="5">
        <v>3.6942408376963345E-2</v>
      </c>
      <c r="G299" s="5">
        <v>0.36448124297314283</v>
      </c>
      <c r="H299" s="10">
        <v>3.1631436763666773E-3</v>
      </c>
      <c r="I299" s="5">
        <v>0.18529260624806718</v>
      </c>
      <c r="J299" s="5">
        <v>1.7254590361798692E-2</v>
      </c>
      <c r="K299" s="11">
        <v>4.0000000000000002E-4</v>
      </c>
      <c r="L299" s="11">
        <v>1.52E-2</v>
      </c>
      <c r="M299" s="11">
        <v>5.2981207591999979E-2</v>
      </c>
      <c r="N299" s="5">
        <v>1.4800000000000001E-2</v>
      </c>
      <c r="O299" s="5">
        <v>6.4999999999999988E-3</v>
      </c>
      <c r="P299" s="5">
        <v>1.9203247987999994E-2</v>
      </c>
      <c r="Q299" s="5">
        <v>2.5744024584996028E-2</v>
      </c>
      <c r="R299" s="10">
        <v>3.3314349138E-2</v>
      </c>
      <c r="S299" s="5">
        <v>8.5560133266509686E-2</v>
      </c>
      <c r="T299" s="5">
        <v>7.4999999999999993E-5</v>
      </c>
    </row>
    <row r="300" spans="1:20" x14ac:dyDescent="0.3">
      <c r="A300" s="3">
        <v>20213</v>
      </c>
      <c r="B300" s="4">
        <f t="shared" si="8"/>
        <v>6.8831721629361358E-3</v>
      </c>
      <c r="C300" s="4">
        <f t="shared" si="9"/>
        <v>6.9076063295589905E-3</v>
      </c>
      <c r="D300" s="5">
        <v>1.3755991296318599E-2</v>
      </c>
      <c r="E300" s="5">
        <v>1.3101630614711677E-2</v>
      </c>
      <c r="F300" s="5">
        <v>4.0712332328893056E-2</v>
      </c>
      <c r="G300" s="5">
        <v>0.33788266378824322</v>
      </c>
      <c r="H300" s="10">
        <v>3.1195254832192456E-3</v>
      </c>
      <c r="I300" s="5">
        <v>0.18889833092620478</v>
      </c>
      <c r="J300" s="5">
        <v>1.5597885153208299E-2</v>
      </c>
      <c r="K300" s="11">
        <v>4.0000000000000002E-4</v>
      </c>
      <c r="L300" s="11">
        <v>1.37E-2</v>
      </c>
      <c r="M300" s="11">
        <v>1.2209187500000773E-3</v>
      </c>
      <c r="N300" s="5">
        <v>1.3300000000000001E-2</v>
      </c>
      <c r="O300" s="5">
        <v>7.0000000000000027E-3</v>
      </c>
      <c r="P300" s="5">
        <v>-1.7027422800000025E-3</v>
      </c>
      <c r="Q300" s="5">
        <v>9.6210470525881497E-3</v>
      </c>
      <c r="R300" s="10">
        <v>3.309120586E-2</v>
      </c>
      <c r="S300" s="5">
        <v>7.0076063295589908E-3</v>
      </c>
      <c r="T300" s="5">
        <v>1E-4</v>
      </c>
    </row>
    <row r="301" spans="1:20" x14ac:dyDescent="0.3">
      <c r="A301" s="3">
        <v>20214</v>
      </c>
      <c r="B301" s="4">
        <f t="shared" si="8"/>
        <v>0.10331879535743088</v>
      </c>
      <c r="C301" s="4">
        <f t="shared" si="9"/>
        <v>0.10885573180994833</v>
      </c>
      <c r="D301" s="5">
        <v>1.2672017691818728E-2</v>
      </c>
      <c r="E301" s="5">
        <v>1.3224680815062971E-2</v>
      </c>
      <c r="F301" s="5">
        <v>4.1515427449236073E-2</v>
      </c>
      <c r="G301" s="5">
        <v>0.30523635357756396</v>
      </c>
      <c r="H301" s="10">
        <v>4.9962027564078226E-3</v>
      </c>
      <c r="I301" s="5">
        <v>0.17593173043317931</v>
      </c>
      <c r="J301" s="5">
        <v>1.2970015216677597E-2</v>
      </c>
      <c r="K301" s="11">
        <v>5.9999999999999995E-4</v>
      </c>
      <c r="L301" s="11">
        <v>1.47E-2</v>
      </c>
      <c r="M301" s="11">
        <v>1.4918821899999823E-2</v>
      </c>
      <c r="N301" s="5">
        <v>1.41E-2</v>
      </c>
      <c r="O301" s="5">
        <v>6.5000000000000023E-3</v>
      </c>
      <c r="P301" s="5">
        <v>-2.6976599339996188E-3</v>
      </c>
      <c r="Q301" s="5">
        <v>1.6375633407458734E-2</v>
      </c>
      <c r="R301" s="10">
        <v>3.2918058993000002E-2</v>
      </c>
      <c r="S301" s="5">
        <v>0.10895573180994833</v>
      </c>
      <c r="T301" s="5">
        <v>1E-4</v>
      </c>
    </row>
    <row r="302" spans="1:20" x14ac:dyDescent="0.3">
      <c r="A302" s="3">
        <v>20221</v>
      </c>
      <c r="B302" s="4">
        <f t="shared" si="8"/>
        <v>-4.6314206651256705E-2</v>
      </c>
      <c r="C302" s="4">
        <f t="shared" si="9"/>
        <v>-4.52648599180029E-2</v>
      </c>
      <c r="D302" s="5">
        <v>1.3678668006664903E-2</v>
      </c>
      <c r="E302" s="5">
        <v>1.4167998263367752E-2</v>
      </c>
      <c r="F302" s="5">
        <v>4.3684787911027929E-2</v>
      </c>
      <c r="G302" s="5">
        <v>0.3131219964836276</v>
      </c>
      <c r="H302" s="10">
        <v>1.1203197854091039E-2</v>
      </c>
      <c r="I302" s="5">
        <v>0.20692074449908951</v>
      </c>
      <c r="J302" s="5">
        <v>-1.1222412318618771E-3</v>
      </c>
      <c r="K302" s="11">
        <v>4.4000000000000003E-3</v>
      </c>
      <c r="L302" s="11">
        <v>2.1299999999999999E-2</v>
      </c>
      <c r="M302" s="11">
        <v>-5.5753115062301073E-2</v>
      </c>
      <c r="N302" s="5">
        <v>1.6899999999999998E-2</v>
      </c>
      <c r="O302" s="5">
        <v>8.5999999999999965E-3</v>
      </c>
      <c r="P302" s="5">
        <v>-2.1117785757038376E-2</v>
      </c>
      <c r="Q302" s="5">
        <v>3.12121146907125E-2</v>
      </c>
      <c r="R302" s="10">
        <v>3.3285746669999998E-2</v>
      </c>
      <c r="S302" s="5">
        <v>-4.5114859918002903E-2</v>
      </c>
      <c r="T302" s="5">
        <v>1.4999999999999999E-4</v>
      </c>
    </row>
    <row r="303" spans="1:20" x14ac:dyDescent="0.3">
      <c r="A303" s="3">
        <v>20222</v>
      </c>
      <c r="B303" s="4">
        <f t="shared" si="8"/>
        <v>-0.17758858209452394</v>
      </c>
      <c r="C303" s="4">
        <f t="shared" si="9"/>
        <v>-0.16289215706006721</v>
      </c>
      <c r="D303" s="5">
        <v>1.6912332538214687E-2</v>
      </c>
      <c r="E303" s="5">
        <v>1.5493049706207934E-2</v>
      </c>
      <c r="F303" s="5">
        <v>5.0790145243013916E-2</v>
      </c>
      <c r="G303" s="5">
        <v>0.33298452794916833</v>
      </c>
      <c r="H303" s="10">
        <v>1.9889993736572908E-2</v>
      </c>
      <c r="I303" s="5">
        <v>0.23316229862588436</v>
      </c>
      <c r="J303" s="5">
        <v>-4.8154202255124932E-3</v>
      </c>
      <c r="K303" s="11">
        <v>1.49E-2</v>
      </c>
      <c r="L303" s="11">
        <v>3.1400000000000004E-2</v>
      </c>
      <c r="M303" s="11">
        <v>-3.7749357146790952E-2</v>
      </c>
      <c r="N303" s="5">
        <v>1.6500000000000004E-2</v>
      </c>
      <c r="O303" s="5">
        <v>1.0299999999999997E-2</v>
      </c>
      <c r="P303" s="5">
        <v>-3.4820899654461002E-2</v>
      </c>
      <c r="Q303" s="5">
        <v>3.0632617285324626E-2</v>
      </c>
      <c r="R303" s="10">
        <v>3.3017345929999997E-2</v>
      </c>
      <c r="S303" s="5">
        <v>-0.16179215706006722</v>
      </c>
      <c r="T303" s="5">
        <v>1.1000000000000001E-3</v>
      </c>
    </row>
    <row r="304" spans="1:20" x14ac:dyDescent="0.3">
      <c r="A304" s="3">
        <v>20223</v>
      </c>
      <c r="B304" s="4">
        <f t="shared" si="8"/>
        <v>-5.1175513208702728E-2</v>
      </c>
      <c r="C304" s="4">
        <f t="shared" si="9"/>
        <v>-5.0073934467749902E-2</v>
      </c>
      <c r="D304" s="5">
        <v>1.8216739460262685E-2</v>
      </c>
      <c r="E304" s="5">
        <v>1.6515374296714815E-2</v>
      </c>
      <c r="F304" s="5">
        <v>5.2175077113581478E-2</v>
      </c>
      <c r="G304" s="5">
        <v>0.34914638306343321</v>
      </c>
      <c r="H304" s="10">
        <v>1.1470355855553355E-2</v>
      </c>
      <c r="I304" s="5">
        <v>0.24980130901070166</v>
      </c>
      <c r="J304" s="5">
        <v>-1.1291114727565223E-2</v>
      </c>
      <c r="K304" s="11">
        <v>3.1300000000000001E-2</v>
      </c>
      <c r="L304" s="11">
        <v>3.5200000000000002E-2</v>
      </c>
      <c r="M304" s="11">
        <v>-4.3478643691722718E-2</v>
      </c>
      <c r="N304" s="5">
        <v>3.9000000000000007E-3</v>
      </c>
      <c r="O304" s="5">
        <v>1.100000000000001E-2</v>
      </c>
      <c r="P304" s="5">
        <v>-7.0872139123825395E-3</v>
      </c>
      <c r="Q304" s="5">
        <v>1.6772917643963492E-3</v>
      </c>
      <c r="R304" s="10">
        <v>3.3251223288000002E-2</v>
      </c>
      <c r="S304" s="5">
        <v>-4.6348934467749903E-2</v>
      </c>
      <c r="T304" s="5">
        <v>3.725E-3</v>
      </c>
    </row>
    <row r="305" spans="1:20" x14ac:dyDescent="0.3">
      <c r="A305" s="3">
        <v>20224</v>
      </c>
      <c r="B305" s="4">
        <f t="shared" si="8"/>
        <v>6.1562462597198692E-2</v>
      </c>
      <c r="C305" s="4">
        <f t="shared" si="9"/>
        <v>6.3993786658430779E-2</v>
      </c>
      <c r="D305" s="5">
        <v>1.7430089425368004E-2</v>
      </c>
      <c r="E305" s="5">
        <v>1.6402211790540071E-2</v>
      </c>
      <c r="F305" s="5">
        <v>4.4992837609063682E-2</v>
      </c>
      <c r="G305" s="5">
        <v>0.38739698031085645</v>
      </c>
      <c r="H305" s="10">
        <v>1.5548094046454502E-2</v>
      </c>
      <c r="I305" s="5">
        <v>0.21647859173837949</v>
      </c>
      <c r="J305" s="5">
        <v>-2.1249309350296362E-2</v>
      </c>
      <c r="K305" s="11">
        <v>4.2500000000000003E-2</v>
      </c>
      <c r="L305" s="11">
        <v>3.6200000000000003E-2</v>
      </c>
      <c r="M305" s="11">
        <v>7.2214295576931153E-3</v>
      </c>
      <c r="N305" s="5">
        <v>-6.3E-3</v>
      </c>
      <c r="O305" s="5">
        <v>1.1599999999999999E-2</v>
      </c>
      <c r="P305" s="5">
        <v>2.9117829970539022E-2</v>
      </c>
      <c r="Q305" s="5">
        <v>-3.7060995660365137E-5</v>
      </c>
      <c r="R305" s="10">
        <v>3.3303192182999999E-2</v>
      </c>
      <c r="S305" s="5">
        <v>7.1818786658430778E-2</v>
      </c>
      <c r="T305" s="5">
        <v>7.8250000000000004E-3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6FEE-31EC-4728-80A4-443F0E4F06AD}">
  <dimension ref="A1:S913"/>
  <sheetViews>
    <sheetView tabSelected="1" topLeftCell="M1" zoomScale="87" workbookViewId="0">
      <pane ySplit="1" topLeftCell="A2" activePane="bottomLeft" state="frozen"/>
      <selection pane="bottomLeft" activeCell="R1" sqref="R1:R1048576"/>
    </sheetView>
  </sheetViews>
  <sheetFormatPr defaultRowHeight="14.4" x14ac:dyDescent="0.3"/>
  <cols>
    <col min="2" max="2" width="13.88671875" customWidth="1"/>
    <col min="3" max="3" width="16.88671875" customWidth="1"/>
    <col min="4" max="4" width="14.33203125" customWidth="1"/>
    <col min="5" max="5" width="16.109375" customWidth="1"/>
    <col min="6" max="6" width="14.6640625" customWidth="1"/>
    <col min="7" max="7" width="13.21875" customWidth="1"/>
    <col min="8" max="8" width="12.21875" customWidth="1"/>
    <col min="9" max="9" width="12.5546875" customWidth="1"/>
    <col min="10" max="11" width="11.21875" customWidth="1"/>
    <col min="14" max="14" width="12.77734375" customWidth="1"/>
    <col min="15" max="15" width="12.5546875" customWidth="1"/>
    <col min="16" max="16" width="14.6640625" customWidth="1"/>
    <col min="17" max="17" width="16.21875" customWidth="1"/>
    <col min="18" max="18" width="23.77734375" customWidth="1"/>
    <col min="19" max="19" width="13.21875" customWidth="1"/>
  </cols>
  <sheetData>
    <row r="1" spans="1:19" x14ac:dyDescent="0.3">
      <c r="A1" s="1" t="s">
        <v>0</v>
      </c>
      <c r="B1" s="1" t="s">
        <v>16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20</v>
      </c>
      <c r="S1" s="1" t="s">
        <v>15</v>
      </c>
    </row>
    <row r="2" spans="1:19" x14ac:dyDescent="0.3">
      <c r="A2" s="3">
        <v>194701</v>
      </c>
      <c r="B2" s="6">
        <f>LN(R2+1) - LN(S2+1)</f>
        <v>2.1474256848170076E-2</v>
      </c>
      <c r="C2" s="4">
        <f>R2 - S2</f>
        <v>2.1713E-2</v>
      </c>
      <c r="D2" s="5">
        <v>4.5551277139208174E-2</v>
      </c>
      <c r="E2" s="5">
        <v>4.6623071895424834E-2</v>
      </c>
      <c r="F2" s="7">
        <v>7.2158365261813531E-2</v>
      </c>
      <c r="G2" s="7">
        <v>0.63126814159292044</v>
      </c>
      <c r="H2" s="7">
        <v>2.1117214710000003E-3</v>
      </c>
      <c r="I2" s="7">
        <v>0.68000443360673912</v>
      </c>
      <c r="J2" s="7">
        <v>3.1538459174218499E-2</v>
      </c>
      <c r="K2" s="8">
        <v>3.8E-3</v>
      </c>
      <c r="L2" s="8">
        <v>2.1399999999999999E-2</v>
      </c>
      <c r="M2" s="8">
        <v>-5.9999999999999995E-4</v>
      </c>
      <c r="N2" s="7">
        <v>1.7599999999999998E-2</v>
      </c>
      <c r="O2" s="7">
        <v>5.6000000000000043E-3</v>
      </c>
      <c r="P2" s="7">
        <v>1.0999999999999998E-3</v>
      </c>
      <c r="Q2" s="7">
        <v>0</v>
      </c>
      <c r="R2" s="7">
        <v>2.2013000000000001E-2</v>
      </c>
      <c r="S2" s="7">
        <v>2.9999999999999997E-4</v>
      </c>
    </row>
    <row r="3" spans="1:19" x14ac:dyDescent="0.3">
      <c r="A3" s="3">
        <v>194702</v>
      </c>
      <c r="B3" s="6">
        <f t="shared" ref="B3:B66" si="0">LN(R3+1) - LN(S3+1)</f>
        <v>-8.6416504102334937E-3</v>
      </c>
      <c r="C3" s="4">
        <f t="shared" ref="C3:C66" si="1">R3 - S3</f>
        <v>-8.6070000000000001E-3</v>
      </c>
      <c r="D3" s="5">
        <v>4.6446338302009074E-2</v>
      </c>
      <c r="E3" s="5">
        <v>4.576417624521073E-2</v>
      </c>
      <c r="F3" s="7">
        <v>7.7770576798444582E-2</v>
      </c>
      <c r="G3" s="7">
        <v>0.5972225000000001</v>
      </c>
      <c r="H3" s="7">
        <v>1.3641434470000003E-3</v>
      </c>
      <c r="I3" s="7">
        <v>0.68585802124091666</v>
      </c>
      <c r="J3" s="7">
        <v>3.0102661969124363E-2</v>
      </c>
      <c r="K3" s="8">
        <v>3.8E-3</v>
      </c>
      <c r="L3" s="8">
        <v>2.1399999999999999E-2</v>
      </c>
      <c r="M3" s="8">
        <v>2.0999999999999999E-3</v>
      </c>
      <c r="N3" s="7">
        <v>1.7599999999999998E-2</v>
      </c>
      <c r="O3" s="7">
        <v>5.7000000000000037E-3</v>
      </c>
      <c r="P3" s="7">
        <v>-1.5999999999999999E-3</v>
      </c>
      <c r="Q3" s="7">
        <v>0</v>
      </c>
      <c r="R3" s="7">
        <v>-8.3070000000000001E-3</v>
      </c>
      <c r="S3" s="7">
        <v>2.9999999999999997E-4</v>
      </c>
    </row>
    <row r="4" spans="1:19" x14ac:dyDescent="0.3">
      <c r="A4" s="3">
        <v>194703</v>
      </c>
      <c r="B4" s="6">
        <f t="shared" si="0"/>
        <v>-1.5421714679439522E-2</v>
      </c>
      <c r="C4" s="4">
        <f t="shared" si="1"/>
        <v>-1.5308E-2</v>
      </c>
      <c r="D4" s="5">
        <v>4.7462096242584045E-2</v>
      </c>
      <c r="E4" s="5">
        <v>4.6662346079066754E-2</v>
      </c>
      <c r="F4" s="7">
        <v>8.3717864205669082E-2</v>
      </c>
      <c r="G4" s="7">
        <v>0.56692913385826771</v>
      </c>
      <c r="H4" s="7">
        <v>2.4112825730000001E-3</v>
      </c>
      <c r="I4" s="7">
        <v>0.74153498871331835</v>
      </c>
      <c r="J4" s="7">
        <v>3.1019969316856726E-2</v>
      </c>
      <c r="K4" s="8">
        <v>3.8E-3</v>
      </c>
      <c r="L4" s="8">
        <v>2.1299999999999999E-2</v>
      </c>
      <c r="M4" s="8">
        <v>2E-3</v>
      </c>
      <c r="N4" s="7">
        <v>1.7499999999999998E-2</v>
      </c>
      <c r="O4" s="7">
        <v>6.0000000000000019E-3</v>
      </c>
      <c r="P4" s="7">
        <v>4.7000000000000002E-3</v>
      </c>
      <c r="Q4" s="7">
        <v>1.8604651162790642E-2</v>
      </c>
      <c r="R4" s="7">
        <v>-1.5008000000000001E-2</v>
      </c>
      <c r="S4" s="7">
        <v>2.9999999999999997E-4</v>
      </c>
    </row>
    <row r="5" spans="1:19" x14ac:dyDescent="0.3">
      <c r="A5" s="3">
        <v>194704</v>
      </c>
      <c r="B5" s="6">
        <f t="shared" si="0"/>
        <v>-4.0663721198559093E-2</v>
      </c>
      <c r="C5" s="4">
        <f t="shared" si="1"/>
        <v>-3.986E-2</v>
      </c>
      <c r="D5" s="5">
        <v>5.0297187928669412E-2</v>
      </c>
      <c r="E5" s="5">
        <v>4.8341001977587346E-2</v>
      </c>
      <c r="F5" s="7">
        <v>9.0992455418381343E-2</v>
      </c>
      <c r="G5" s="7">
        <v>0.55276217898949997</v>
      </c>
      <c r="H5" s="7">
        <v>2.3073614650000003E-3</v>
      </c>
      <c r="I5" s="7">
        <v>0.77004219409282715</v>
      </c>
      <c r="J5" s="7">
        <v>3.134597062217942E-2</v>
      </c>
      <c r="K5" s="8">
        <v>3.8E-3</v>
      </c>
      <c r="L5" s="8">
        <v>2.1700000000000001E-2</v>
      </c>
      <c r="M5" s="8">
        <v>-3.7000000000000002E-3</v>
      </c>
      <c r="N5" s="7">
        <v>1.7899999999999999E-2</v>
      </c>
      <c r="O5" s="7">
        <v>6.3000000000000035E-3</v>
      </c>
      <c r="P5" s="7">
        <v>5.7000000000000002E-3</v>
      </c>
      <c r="Q5" s="7">
        <v>0</v>
      </c>
      <c r="R5" s="7">
        <v>-3.9559999999999998E-2</v>
      </c>
      <c r="S5" s="7">
        <v>2.9999999999999997E-4</v>
      </c>
    </row>
    <row r="6" spans="1:19" x14ac:dyDescent="0.3">
      <c r="A6" s="3">
        <v>194705</v>
      </c>
      <c r="B6" s="6">
        <f t="shared" si="0"/>
        <v>-1.2904453826713281E-3</v>
      </c>
      <c r="C6" s="4">
        <f t="shared" si="1"/>
        <v>-1.2899999999999999E-3</v>
      </c>
      <c r="D6" s="5">
        <v>5.1672456747404845E-2</v>
      </c>
      <c r="E6" s="5">
        <v>5.1211728395061724E-2</v>
      </c>
      <c r="F6" s="7">
        <v>9.5732179930795844E-2</v>
      </c>
      <c r="G6" s="7">
        <v>0.5397605777363319</v>
      </c>
      <c r="H6" s="7">
        <v>2.5450853479999994E-3</v>
      </c>
      <c r="I6" s="7">
        <v>0.77636632200886269</v>
      </c>
      <c r="J6" s="7">
        <v>2.5894317539196875E-2</v>
      </c>
      <c r="K6" s="8">
        <v>3.8E-3</v>
      </c>
      <c r="L6" s="8">
        <v>2.1600000000000001E-2</v>
      </c>
      <c r="M6" s="8">
        <v>3.3E-3</v>
      </c>
      <c r="N6" s="7">
        <v>1.78E-2</v>
      </c>
      <c r="O6" s="7">
        <v>6.3999999999999994E-3</v>
      </c>
      <c r="P6" s="7">
        <v>-1.2999999999999999E-3</v>
      </c>
      <c r="Q6" s="7">
        <v>0</v>
      </c>
      <c r="R6" s="7">
        <v>-9.8999999999999999E-4</v>
      </c>
      <c r="S6" s="7">
        <v>2.9999999999999997E-4</v>
      </c>
    </row>
    <row r="7" spans="1:19" x14ac:dyDescent="0.3">
      <c r="A7" s="3">
        <v>194706</v>
      </c>
      <c r="B7" s="6">
        <f t="shared" si="0"/>
        <v>5.2283956174285197E-2</v>
      </c>
      <c r="C7" s="4">
        <f t="shared" si="1"/>
        <v>5.3690999999999996E-2</v>
      </c>
      <c r="D7" s="5">
        <v>4.9967126890203814E-2</v>
      </c>
      <c r="E7" s="5">
        <v>5.2595155709342561E-2</v>
      </c>
      <c r="F7" s="7">
        <v>9.4674556213017749E-2</v>
      </c>
      <c r="G7" s="7">
        <v>0.52777777777777779</v>
      </c>
      <c r="H7" s="7">
        <v>1.958778533E-3</v>
      </c>
      <c r="I7" s="7">
        <v>0.74111675126903553</v>
      </c>
      <c r="J7" s="7">
        <v>2.6472742527582801E-2</v>
      </c>
      <c r="K7" s="8">
        <v>3.8E-3</v>
      </c>
      <c r="L7" s="8">
        <v>2.1600000000000001E-2</v>
      </c>
      <c r="M7" s="8">
        <v>1E-3</v>
      </c>
      <c r="N7" s="7">
        <v>1.78E-2</v>
      </c>
      <c r="O7" s="7">
        <v>6.5999999999999982E-3</v>
      </c>
      <c r="P7" s="7">
        <v>-6.0000000000000006E-4</v>
      </c>
      <c r="Q7" s="7">
        <v>4.5662100456622667E-3</v>
      </c>
      <c r="R7" s="7">
        <v>5.3990999999999997E-2</v>
      </c>
      <c r="S7" s="7">
        <v>2.9999999999999997E-4</v>
      </c>
    </row>
    <row r="8" spans="1:19" x14ac:dyDescent="0.3">
      <c r="A8" s="3">
        <v>194707</v>
      </c>
      <c r="B8" s="6">
        <f t="shared" si="0"/>
        <v>3.8509134977551741E-2</v>
      </c>
      <c r="C8" s="4">
        <f t="shared" si="1"/>
        <v>3.9272000000000001E-2</v>
      </c>
      <c r="D8" s="5">
        <v>4.8857868020304569E-2</v>
      </c>
      <c r="E8" s="5">
        <v>5.0624589086127547E-2</v>
      </c>
      <c r="F8" s="7">
        <v>9.3697335025380704E-2</v>
      </c>
      <c r="G8" s="7">
        <v>0.52144351818618928</v>
      </c>
      <c r="H8" s="7">
        <v>1.9774476030000004E-3</v>
      </c>
      <c r="I8" s="7">
        <v>0.71732721912872588</v>
      </c>
      <c r="J8" s="7">
        <v>2.064051103358561E-2</v>
      </c>
      <c r="K8" s="8">
        <v>6.6E-3</v>
      </c>
      <c r="L8" s="8">
        <v>2.1399999999999999E-2</v>
      </c>
      <c r="M8" s="8">
        <v>6.3E-3</v>
      </c>
      <c r="N8" s="7">
        <v>1.4799999999999999E-2</v>
      </c>
      <c r="O8" s="7">
        <v>6.3000000000000035E-3</v>
      </c>
      <c r="P8" s="7">
        <v>-4.3E-3</v>
      </c>
      <c r="Q8" s="7">
        <v>9.0909090909090384E-3</v>
      </c>
      <c r="R8" s="7">
        <v>3.9572000000000003E-2</v>
      </c>
      <c r="S8" s="7">
        <v>2.9999999999999997E-4</v>
      </c>
    </row>
    <row r="9" spans="1:19" x14ac:dyDescent="0.3">
      <c r="A9" s="3">
        <v>194708</v>
      </c>
      <c r="B9" s="6">
        <f t="shared" si="0"/>
        <v>-2.3646374124545712E-2</v>
      </c>
      <c r="C9" s="4">
        <f t="shared" si="1"/>
        <v>-2.3376000000000001E-2</v>
      </c>
      <c r="D9" s="5">
        <v>5.0913838120104436E-2</v>
      </c>
      <c r="E9" s="5">
        <v>4.9492385786802033E-2</v>
      </c>
      <c r="F9" s="7">
        <v>9.87813315926893E-2</v>
      </c>
      <c r="G9" s="7">
        <v>0.51541963748818831</v>
      </c>
      <c r="H9" s="7">
        <v>8.2439982000000005E-4</v>
      </c>
      <c r="I9" s="7">
        <v>0.73469387755102045</v>
      </c>
      <c r="J9" s="7">
        <v>2.3176781543258959E-2</v>
      </c>
      <c r="K9" s="8">
        <v>7.4999999999999997E-3</v>
      </c>
      <c r="L9" s="8">
        <v>2.1000000000000001E-2</v>
      </c>
      <c r="M9" s="8">
        <v>8.0999999999999996E-3</v>
      </c>
      <c r="N9" s="7">
        <v>1.3500000000000002E-2</v>
      </c>
      <c r="O9" s="7">
        <v>6.0999999999999978E-3</v>
      </c>
      <c r="P9" s="7">
        <v>-1.52E-2</v>
      </c>
      <c r="Q9" s="7">
        <v>1.3513513513513598E-2</v>
      </c>
      <c r="R9" s="7">
        <v>-2.3075999999999999E-2</v>
      </c>
      <c r="S9" s="7">
        <v>2.9999999999999997E-4</v>
      </c>
    </row>
    <row r="10" spans="1:19" x14ac:dyDescent="0.3">
      <c r="A10" s="3">
        <v>194709</v>
      </c>
      <c r="B10" s="6">
        <f t="shared" si="0"/>
        <v>-1.0577431297241648E-2</v>
      </c>
      <c r="C10" s="4">
        <f t="shared" si="1"/>
        <v>-1.0527999999999999E-2</v>
      </c>
      <c r="D10" s="5">
        <v>5.2283256121773661E-2</v>
      </c>
      <c r="E10" s="5">
        <v>5.1566579634464753E-2</v>
      </c>
      <c r="F10" s="7">
        <v>0.10258107213765719</v>
      </c>
      <c r="G10" s="7">
        <v>0.50967741935483868</v>
      </c>
      <c r="H10" s="7">
        <v>1.385496857E-3</v>
      </c>
      <c r="I10" s="7">
        <v>0.740323398501324</v>
      </c>
      <c r="J10" s="7">
        <v>2.4058547636889031E-2</v>
      </c>
      <c r="K10" s="8">
        <v>8.0000000000000002E-3</v>
      </c>
      <c r="L10" s="8">
        <v>2.1299999999999999E-2</v>
      </c>
      <c r="M10" s="8">
        <v>-4.4000000000000003E-3</v>
      </c>
      <c r="N10" s="7">
        <v>1.3299999999999999E-2</v>
      </c>
      <c r="O10" s="7">
        <v>6.2000000000000041E-3</v>
      </c>
      <c r="P10" s="7">
        <v>-8.6999999999999994E-3</v>
      </c>
      <c r="Q10" s="7">
        <v>2.2222222222222143E-2</v>
      </c>
      <c r="R10" s="7">
        <v>-9.9279999999999993E-3</v>
      </c>
      <c r="S10" s="7">
        <v>5.9999999999999995E-4</v>
      </c>
    </row>
    <row r="11" spans="1:19" x14ac:dyDescent="0.3">
      <c r="A11" s="3">
        <v>194710</v>
      </c>
      <c r="B11" s="6">
        <f t="shared" si="0"/>
        <v>1.9769313395951813E-2</v>
      </c>
      <c r="C11" s="4">
        <f t="shared" si="1"/>
        <v>1.9977999999999999E-2</v>
      </c>
      <c r="D11" s="5">
        <v>5.2279131561892421E-2</v>
      </c>
      <c r="E11" s="5">
        <v>5.3386300463269365E-2</v>
      </c>
      <c r="F11" s="7">
        <v>0.10174983797796501</v>
      </c>
      <c r="G11" s="7">
        <v>0.51380063694267519</v>
      </c>
      <c r="H11" s="7">
        <v>8.6953756399999989E-4</v>
      </c>
      <c r="I11" s="7">
        <v>0.72273252296353341</v>
      </c>
      <c r="J11" s="7">
        <v>2.3018581739558796E-2</v>
      </c>
      <c r="K11" s="8">
        <v>8.5000000000000006E-3</v>
      </c>
      <c r="L11" s="8">
        <v>2.1700000000000001E-2</v>
      </c>
      <c r="M11" s="8">
        <v>-3.7000000000000002E-3</v>
      </c>
      <c r="N11" s="7">
        <v>1.32E-2</v>
      </c>
      <c r="O11" s="7">
        <v>6.4999999999999988E-3</v>
      </c>
      <c r="P11" s="7">
        <v>-6.2000000000000006E-3</v>
      </c>
      <c r="Q11" s="7">
        <v>0</v>
      </c>
      <c r="R11" s="7">
        <v>2.0577999999999999E-2</v>
      </c>
      <c r="S11" s="7">
        <v>5.9999999999999995E-4</v>
      </c>
    </row>
    <row r="12" spans="1:19" x14ac:dyDescent="0.3">
      <c r="A12" s="3">
        <v>194711</v>
      </c>
      <c r="B12" s="6">
        <f t="shared" si="0"/>
        <v>-1.8390133430635492E-2</v>
      </c>
      <c r="C12" s="4">
        <f t="shared" si="1"/>
        <v>-1.8232999999999999E-2</v>
      </c>
      <c r="D12" s="5">
        <v>5.4925483655770511E-2</v>
      </c>
      <c r="E12" s="5">
        <v>5.3359235255994814E-2</v>
      </c>
      <c r="F12" s="7">
        <v>0.10607071380920614</v>
      </c>
      <c r="G12" s="7">
        <v>0.5178194968553459</v>
      </c>
      <c r="H12" s="7">
        <v>4.7596075700000006E-4</v>
      </c>
      <c r="I12" s="7">
        <v>0.73199264664921182</v>
      </c>
      <c r="J12" s="7">
        <v>2.5908149359979586E-2</v>
      </c>
      <c r="K12" s="8">
        <v>9.1999999999999998E-3</v>
      </c>
      <c r="L12" s="8">
        <v>2.29E-2</v>
      </c>
      <c r="M12" s="8">
        <v>-1.7399999999999999E-2</v>
      </c>
      <c r="N12" s="7">
        <v>1.37E-2</v>
      </c>
      <c r="O12" s="7">
        <v>6.7000000000000011E-3</v>
      </c>
      <c r="P12" s="7">
        <v>7.5999999999999991E-3</v>
      </c>
      <c r="Q12" s="7">
        <v>4.3478260869564966E-3</v>
      </c>
      <c r="R12" s="7">
        <v>-1.7632999999999999E-2</v>
      </c>
      <c r="S12" s="7">
        <v>5.9999999999999995E-4</v>
      </c>
    </row>
    <row r="13" spans="1:19" x14ac:dyDescent="0.3">
      <c r="A13" s="3">
        <v>194712</v>
      </c>
      <c r="B13" s="6">
        <f t="shared" si="0"/>
        <v>2.9519997580323643E-2</v>
      </c>
      <c r="C13" s="4">
        <f t="shared" si="1"/>
        <v>2.9984E-2</v>
      </c>
      <c r="D13" s="5">
        <v>5.4901960784313718E-2</v>
      </c>
      <c r="E13" s="5">
        <v>5.6037358238825878E-2</v>
      </c>
      <c r="F13" s="7">
        <v>0.10522875816993464</v>
      </c>
      <c r="G13" s="7">
        <v>0.52173913043478259</v>
      </c>
      <c r="H13" s="7">
        <v>1.1073046429999997E-3</v>
      </c>
      <c r="I13" s="7">
        <v>0.7253256789578274</v>
      </c>
      <c r="J13" s="7">
        <v>2.5921592865842311E-2</v>
      </c>
      <c r="K13" s="8">
        <v>9.4999999999999998E-3</v>
      </c>
      <c r="L13" s="8">
        <v>2.4299999999999999E-2</v>
      </c>
      <c r="M13" s="8">
        <v>-1.9199999999999998E-2</v>
      </c>
      <c r="N13" s="7">
        <v>1.4799999999999999E-2</v>
      </c>
      <c r="O13" s="7">
        <v>6.6000000000000017E-3</v>
      </c>
      <c r="P13" s="7">
        <v>2.1599999999999998E-2</v>
      </c>
      <c r="Q13" s="7">
        <v>1.298701298701288E-2</v>
      </c>
      <c r="R13" s="7">
        <v>3.0783999999999999E-2</v>
      </c>
      <c r="S13" s="7">
        <v>8.0000000000000004E-4</v>
      </c>
    </row>
    <row r="14" spans="1:19" x14ac:dyDescent="0.3">
      <c r="A14" s="3">
        <v>194801</v>
      </c>
      <c r="B14" s="6">
        <f t="shared" si="0"/>
        <v>-3.9173467342231108E-2</v>
      </c>
      <c r="C14" s="4">
        <f t="shared" si="1"/>
        <v>-3.8442999999999998E-2</v>
      </c>
      <c r="D14" s="5">
        <v>5.7408645336963923E-2</v>
      </c>
      <c r="E14" s="5">
        <v>5.5119803921568622E-2</v>
      </c>
      <c r="F14" s="7">
        <v>0.11186725663716814</v>
      </c>
      <c r="G14" s="7">
        <v>0.51318542228280384</v>
      </c>
      <c r="H14" s="7">
        <v>1.0488639839999999E-3</v>
      </c>
      <c r="I14" s="7">
        <v>0.75188830395971629</v>
      </c>
      <c r="J14" s="7">
        <v>2.7765388265729718E-2</v>
      </c>
      <c r="K14" s="8">
        <v>9.7000000000000003E-3</v>
      </c>
      <c r="L14" s="8">
        <v>2.4299999999999999E-2</v>
      </c>
      <c r="M14" s="8">
        <v>2E-3</v>
      </c>
      <c r="N14" s="7">
        <v>1.4599999999999998E-2</v>
      </c>
      <c r="O14" s="7">
        <v>6.6000000000000017E-3</v>
      </c>
      <c r="P14" s="7">
        <v>3.9999999999999975E-4</v>
      </c>
      <c r="Q14" s="7">
        <v>1.2820512820512775E-2</v>
      </c>
      <c r="R14" s="7">
        <v>-3.7742999999999999E-2</v>
      </c>
      <c r="S14" s="7">
        <v>7.000000000000001E-4</v>
      </c>
    </row>
    <row r="15" spans="1:19" x14ac:dyDescent="0.3">
      <c r="A15" s="3">
        <v>194802</v>
      </c>
      <c r="B15" s="6">
        <f t="shared" si="0"/>
        <v>-4.1763445507289519E-2</v>
      </c>
      <c r="C15" s="4">
        <f t="shared" si="1"/>
        <v>-4.0931999999999996E-2</v>
      </c>
      <c r="D15" s="5">
        <v>6.0476214285714279E-2</v>
      </c>
      <c r="E15" s="5">
        <v>5.7635602450646695E-2</v>
      </c>
      <c r="F15" s="7">
        <v>0.11976214285714286</v>
      </c>
      <c r="G15" s="7">
        <v>0.50496937381834228</v>
      </c>
      <c r="H15" s="7">
        <v>1.7556377390000003E-3</v>
      </c>
      <c r="I15" s="7">
        <v>0.78776978417266186</v>
      </c>
      <c r="J15" s="7">
        <v>2.913440754037297E-2</v>
      </c>
      <c r="K15" s="8">
        <v>0.01</v>
      </c>
      <c r="L15" s="8">
        <v>2.41E-2</v>
      </c>
      <c r="M15" s="8">
        <v>4.5999999999999999E-3</v>
      </c>
      <c r="N15" s="7">
        <v>1.41E-2</v>
      </c>
      <c r="O15" s="7">
        <v>6.799999999999997E-3</v>
      </c>
      <c r="P15" s="7">
        <v>-7.000000000000001E-4</v>
      </c>
      <c r="Q15" s="7">
        <v>-8.4388185654008518E-3</v>
      </c>
      <c r="R15" s="7">
        <v>-4.0231999999999997E-2</v>
      </c>
      <c r="S15" s="7">
        <v>7.000000000000001E-4</v>
      </c>
    </row>
    <row r="16" spans="1:19" x14ac:dyDescent="0.3">
      <c r="A16" s="3">
        <v>194803</v>
      </c>
      <c r="B16" s="6">
        <f t="shared" si="0"/>
        <v>7.7393891127070916E-2</v>
      </c>
      <c r="C16" s="4">
        <f t="shared" si="1"/>
        <v>8.054E-2</v>
      </c>
      <c r="D16" s="5">
        <v>5.636604774535809E-2</v>
      </c>
      <c r="E16" s="5">
        <v>6.0714285714285714E-2</v>
      </c>
      <c r="F16" s="7">
        <v>0.11339522546419098</v>
      </c>
      <c r="G16" s="7">
        <v>0.49707602339181284</v>
      </c>
      <c r="H16" s="7">
        <v>2.0820213490000002E-3</v>
      </c>
      <c r="I16" s="7">
        <v>0.8414221218961625</v>
      </c>
      <c r="J16" s="7">
        <v>2.7187032727454829E-2</v>
      </c>
      <c r="K16" s="8">
        <v>0.01</v>
      </c>
      <c r="L16" s="8">
        <v>2.41E-2</v>
      </c>
      <c r="M16" s="8">
        <v>3.3999999999999998E-3</v>
      </c>
      <c r="N16" s="7">
        <v>1.41E-2</v>
      </c>
      <c r="O16" s="7">
        <v>6.9999999999999958E-3</v>
      </c>
      <c r="P16" s="7">
        <v>8.0999999999999996E-3</v>
      </c>
      <c r="Q16" s="7">
        <v>-4.2553191489361764E-3</v>
      </c>
      <c r="R16" s="7">
        <v>8.1439999999999999E-2</v>
      </c>
      <c r="S16" s="7">
        <v>8.9999999999999998E-4</v>
      </c>
    </row>
    <row r="17" spans="1:19" x14ac:dyDescent="0.3">
      <c r="A17" s="3">
        <v>194804</v>
      </c>
      <c r="B17" s="6">
        <f t="shared" si="0"/>
        <v>2.9555891944184846E-2</v>
      </c>
      <c r="C17" s="4">
        <f t="shared" si="1"/>
        <v>3.0021000000000003E-2</v>
      </c>
      <c r="D17" s="5">
        <v>5.490956072351421E-2</v>
      </c>
      <c r="E17" s="5">
        <v>5.636604774535809E-2</v>
      </c>
      <c r="F17" s="7">
        <v>0.11369509043927649</v>
      </c>
      <c r="G17" s="7">
        <v>0.48295454545454541</v>
      </c>
      <c r="H17" s="7">
        <v>5.5196923500000017E-4</v>
      </c>
      <c r="I17" s="7">
        <v>0.82599301977729767</v>
      </c>
      <c r="J17" s="7">
        <v>2.7453929514236721E-2</v>
      </c>
      <c r="K17" s="8">
        <v>0.01</v>
      </c>
      <c r="L17" s="8">
        <v>2.3900000000000001E-2</v>
      </c>
      <c r="M17" s="8">
        <v>4.4999999999999997E-3</v>
      </c>
      <c r="N17" s="7">
        <v>1.3900000000000001E-2</v>
      </c>
      <c r="O17" s="7">
        <v>6.9000000000000034E-3</v>
      </c>
      <c r="P17" s="7">
        <v>-6.9999999999999967E-4</v>
      </c>
      <c r="Q17" s="7">
        <v>1.7094017094017255E-2</v>
      </c>
      <c r="R17" s="7">
        <v>3.0821000000000001E-2</v>
      </c>
      <c r="S17" s="7">
        <v>8.0000000000000004E-4</v>
      </c>
    </row>
    <row r="18" spans="1:19" x14ac:dyDescent="0.3">
      <c r="A18" s="3">
        <v>194805</v>
      </c>
      <c r="B18" s="6">
        <f t="shared" si="0"/>
        <v>7.9871137892641983E-2</v>
      </c>
      <c r="C18" s="4">
        <f t="shared" si="1"/>
        <v>8.321400000000001E-2</v>
      </c>
      <c r="D18" s="5">
        <v>5.0928699820251645E-2</v>
      </c>
      <c r="E18" s="5">
        <v>5.490956072351421E-2</v>
      </c>
      <c r="F18" s="7">
        <v>0.10844817255841821</v>
      </c>
      <c r="G18" s="7">
        <v>0.46961325966850825</v>
      </c>
      <c r="H18" s="7">
        <v>1.4527575470000005E-3</v>
      </c>
      <c r="I18" s="7">
        <v>0.78169235608681964</v>
      </c>
      <c r="J18" s="7">
        <v>2.557812069015036E-2</v>
      </c>
      <c r="K18" s="8">
        <v>0.01</v>
      </c>
      <c r="L18" s="8">
        <v>2.3099999999999999E-2</v>
      </c>
      <c r="M18" s="8">
        <v>1.41E-2</v>
      </c>
      <c r="N18" s="7">
        <v>1.3099999999999999E-2</v>
      </c>
      <c r="O18" s="7">
        <v>6.1999999999999972E-3</v>
      </c>
      <c r="P18" s="7">
        <v>-1.3299999999999999E-2</v>
      </c>
      <c r="Q18" s="7">
        <v>4.2016806722688926E-3</v>
      </c>
      <c r="R18" s="7">
        <v>8.4014000000000005E-2</v>
      </c>
      <c r="S18" s="7">
        <v>8.0000000000000004E-4</v>
      </c>
    </row>
    <row r="19" spans="1:19" x14ac:dyDescent="0.3">
      <c r="A19" s="3">
        <v>194806</v>
      </c>
      <c r="B19" s="6">
        <f t="shared" si="0"/>
        <v>6.7361778989009947E-3</v>
      </c>
      <c r="C19" s="4">
        <f t="shared" si="1"/>
        <v>6.7650000000000002E-3</v>
      </c>
      <c r="D19" s="5">
        <v>5.0776583034647556E-2</v>
      </c>
      <c r="E19" s="5">
        <v>5.0928699820251645E-2</v>
      </c>
      <c r="F19" s="7">
        <v>0.11111111111111113</v>
      </c>
      <c r="G19" s="7">
        <v>0.45698924731182794</v>
      </c>
      <c r="H19" s="7">
        <v>9.0705668800000001E-4</v>
      </c>
      <c r="I19" s="7">
        <v>0.78697350364192964</v>
      </c>
      <c r="J19" s="7">
        <v>2.389366857431274E-2</v>
      </c>
      <c r="K19" s="8">
        <v>0.01</v>
      </c>
      <c r="L19" s="8">
        <v>2.3800000000000002E-2</v>
      </c>
      <c r="M19" s="8">
        <v>-8.3999999999999995E-3</v>
      </c>
      <c r="N19" s="7">
        <v>1.3800000000000002E-2</v>
      </c>
      <c r="O19" s="7">
        <v>5.7999999999999996E-3</v>
      </c>
      <c r="P19" s="7">
        <v>9.9999999999999395E-5</v>
      </c>
      <c r="Q19" s="7">
        <v>8.3682008368202165E-3</v>
      </c>
      <c r="R19" s="7">
        <v>7.6649999999999999E-3</v>
      </c>
      <c r="S19" s="7">
        <v>8.9999999999999998E-4</v>
      </c>
    </row>
    <row r="20" spans="1:19" x14ac:dyDescent="0.3">
      <c r="A20" s="3">
        <v>194807</v>
      </c>
      <c r="B20" s="6">
        <f t="shared" si="0"/>
        <v>-5.451274194049794E-2</v>
      </c>
      <c r="C20" s="4">
        <f t="shared" si="1"/>
        <v>-5.3096000000000004E-2</v>
      </c>
      <c r="D20" s="5">
        <v>5.4048391167192428E-2</v>
      </c>
      <c r="E20" s="5">
        <v>5.1174850657108722E-2</v>
      </c>
      <c r="F20" s="7">
        <v>0.12176656151419558</v>
      </c>
      <c r="G20" s="7">
        <v>0.44386891191709843</v>
      </c>
      <c r="H20" s="7">
        <v>2.7669911470000006E-3</v>
      </c>
      <c r="I20" s="7">
        <v>0.82225776209121482</v>
      </c>
      <c r="J20" s="7">
        <v>2.2179327693866144E-2</v>
      </c>
      <c r="K20" s="8">
        <v>0.01</v>
      </c>
      <c r="L20" s="8">
        <v>2.41E-2</v>
      </c>
      <c r="M20" s="8">
        <v>-2.0999999999999999E-3</v>
      </c>
      <c r="N20" s="7">
        <v>1.41E-2</v>
      </c>
      <c r="O20" s="7">
        <v>5.6000000000000008E-3</v>
      </c>
      <c r="P20" s="7">
        <v>-3.0999999999999999E-3</v>
      </c>
      <c r="Q20" s="7">
        <v>1.2448132780082943E-2</v>
      </c>
      <c r="R20" s="7">
        <v>-5.2296000000000002E-2</v>
      </c>
      <c r="S20" s="7">
        <v>8.0000000000000004E-4</v>
      </c>
    </row>
    <row r="21" spans="1:19" x14ac:dyDescent="0.3">
      <c r="A21" s="3">
        <v>194808</v>
      </c>
      <c r="B21" s="6">
        <f t="shared" si="0"/>
        <v>1.451991078475926E-2</v>
      </c>
      <c r="C21" s="4">
        <f t="shared" si="1"/>
        <v>1.4639000000000001E-2</v>
      </c>
      <c r="D21" s="5">
        <v>5.4059674389480276E-2</v>
      </c>
      <c r="E21" s="5">
        <v>5.4468958990536283E-2</v>
      </c>
      <c r="F21" s="7">
        <v>0.12523481527864747</v>
      </c>
      <c r="G21" s="7">
        <v>0.43166650000000001</v>
      </c>
      <c r="H21" s="7">
        <v>1.1851393339999997E-3</v>
      </c>
      <c r="I21" s="7">
        <v>0.82053822024104339</v>
      </c>
      <c r="J21" s="7">
        <v>1.9226808969690212E-2</v>
      </c>
      <c r="K21" s="8">
        <v>1.06E-2</v>
      </c>
      <c r="L21" s="8">
        <v>2.4199999999999999E-2</v>
      </c>
      <c r="M21" s="8">
        <v>1E-4</v>
      </c>
      <c r="N21" s="7">
        <v>1.3599999999999999E-2</v>
      </c>
      <c r="O21" s="7">
        <v>6.0000000000000019E-3</v>
      </c>
      <c r="P21" s="7">
        <v>5.3999999999999994E-3</v>
      </c>
      <c r="Q21" s="7">
        <v>4.098360655737654E-3</v>
      </c>
      <c r="R21" s="7">
        <v>1.5539000000000001E-2</v>
      </c>
      <c r="S21" s="7">
        <v>8.9999999999999998E-4</v>
      </c>
    </row>
    <row r="22" spans="1:19" x14ac:dyDescent="0.3">
      <c r="A22" s="3">
        <v>194809</v>
      </c>
      <c r="B22" s="6">
        <f t="shared" si="0"/>
        <v>-2.7787560940329779E-2</v>
      </c>
      <c r="C22" s="4">
        <f t="shared" si="1"/>
        <v>-2.7415999999999999E-2</v>
      </c>
      <c r="D22" s="5">
        <v>5.6165267914783733E-2</v>
      </c>
      <c r="E22" s="5">
        <v>5.4477144646211645E-2</v>
      </c>
      <c r="F22" s="7">
        <v>0.13363460296965785</v>
      </c>
      <c r="G22" s="7">
        <v>0.4202898550724638</v>
      </c>
      <c r="H22" s="7">
        <v>2.395501641E-3</v>
      </c>
      <c r="I22" s="7">
        <v>0.8362310712282669</v>
      </c>
      <c r="J22" s="7">
        <v>1.9128085479879736E-2</v>
      </c>
      <c r="K22" s="8">
        <v>1.09E-2</v>
      </c>
      <c r="L22" s="8">
        <v>2.4199999999999999E-2</v>
      </c>
      <c r="M22" s="8">
        <v>1.4E-3</v>
      </c>
      <c r="N22" s="7">
        <v>1.3299999999999999E-2</v>
      </c>
      <c r="O22" s="7">
        <v>6.1000000000000047E-3</v>
      </c>
      <c r="P22" s="7">
        <v>9.999999999999998E-4</v>
      </c>
      <c r="Q22" s="7">
        <v>0</v>
      </c>
      <c r="R22" s="7">
        <v>-2.7015999999999998E-2</v>
      </c>
      <c r="S22" s="7">
        <v>4.0000000000000002E-4</v>
      </c>
    </row>
    <row r="23" spans="1:19" x14ac:dyDescent="0.3">
      <c r="A23" s="3">
        <v>194810</v>
      </c>
      <c r="B23" s="6">
        <f t="shared" si="0"/>
        <v>6.7297045475390768E-2</v>
      </c>
      <c r="C23" s="4">
        <f t="shared" si="1"/>
        <v>6.9641000000000008E-2</v>
      </c>
      <c r="D23" s="5">
        <v>5.3808948004836765E-2</v>
      </c>
      <c r="E23" s="5">
        <v>5.7456423499031635E-2</v>
      </c>
      <c r="F23" s="7">
        <v>0.12958464328899638</v>
      </c>
      <c r="G23" s="7">
        <v>0.4152417033307983</v>
      </c>
      <c r="H23" s="7">
        <v>8.2756330799999976E-4</v>
      </c>
      <c r="I23" s="7">
        <v>0.79190567240280429</v>
      </c>
      <c r="J23" s="7">
        <v>1.8133729867603334E-2</v>
      </c>
      <c r="K23" s="8">
        <v>1.1200000000000002E-2</v>
      </c>
      <c r="L23" s="8">
        <v>2.4299999999999999E-2</v>
      </c>
      <c r="M23" s="8">
        <v>6.9999999999999999E-4</v>
      </c>
      <c r="N23" s="7">
        <v>1.3099999999999997E-2</v>
      </c>
      <c r="O23" s="7">
        <v>6.6000000000000052E-3</v>
      </c>
      <c r="P23" s="7">
        <v>1.6999999999999997E-3</v>
      </c>
      <c r="Q23" s="7">
        <v>-4.0816326530612734E-3</v>
      </c>
      <c r="R23" s="7">
        <v>7.0041000000000006E-2</v>
      </c>
      <c r="S23" s="7">
        <v>4.0000000000000002E-4</v>
      </c>
    </row>
    <row r="24" spans="1:19" x14ac:dyDescent="0.3">
      <c r="A24" s="3">
        <v>194811</v>
      </c>
      <c r="B24" s="6">
        <f t="shared" si="0"/>
        <v>-0.10390881764901666</v>
      </c>
      <c r="C24" s="4">
        <f t="shared" si="1"/>
        <v>-9.8732E-2</v>
      </c>
      <c r="D24" s="5">
        <v>6.1694915254237287E-2</v>
      </c>
      <c r="E24" s="5">
        <v>5.5018137847642083E-2</v>
      </c>
      <c r="F24" s="7">
        <v>0.15028271186440678</v>
      </c>
      <c r="G24" s="7">
        <v>0.41052569845759629</v>
      </c>
      <c r="H24" s="7">
        <v>6.1589031289999993E-3</v>
      </c>
      <c r="I24" s="7">
        <v>0.87091121495327106</v>
      </c>
      <c r="J24" s="7">
        <v>1.7791531193909842E-2</v>
      </c>
      <c r="K24" s="8">
        <v>1.1399999999999999E-2</v>
      </c>
      <c r="L24" s="8">
        <v>2.3900000000000001E-2</v>
      </c>
      <c r="M24" s="8">
        <v>7.6E-3</v>
      </c>
      <c r="N24" s="7">
        <v>1.2500000000000002E-2</v>
      </c>
      <c r="O24" s="7">
        <v>6.8999999999999999E-3</v>
      </c>
      <c r="P24" s="7">
        <v>9.0000000000000063E-4</v>
      </c>
      <c r="Q24" s="7">
        <v>-8.1967213114754189E-3</v>
      </c>
      <c r="R24" s="7">
        <v>-9.8332000000000003E-2</v>
      </c>
      <c r="S24" s="7">
        <v>4.0000000000000002E-4</v>
      </c>
    </row>
    <row r="25" spans="1:19" x14ac:dyDescent="0.3">
      <c r="A25" s="3">
        <v>194812</v>
      </c>
      <c r="B25" s="6">
        <f t="shared" si="0"/>
        <v>3.4920890696269954E-2</v>
      </c>
      <c r="C25" s="4">
        <f t="shared" si="1"/>
        <v>3.5552E-2</v>
      </c>
      <c r="D25" s="5">
        <v>6.1184210526315792E-2</v>
      </c>
      <c r="E25" s="5">
        <v>6.3050847457627124E-2</v>
      </c>
      <c r="F25" s="7">
        <v>0.1506578947368421</v>
      </c>
      <c r="G25" s="7">
        <v>0.40611353711790393</v>
      </c>
      <c r="H25" s="7">
        <v>9.6740501000000003E-4</v>
      </c>
      <c r="I25" s="7">
        <v>0.84094754653130277</v>
      </c>
      <c r="J25" s="7">
        <v>1.5014544847642721E-2</v>
      </c>
      <c r="K25" s="8">
        <v>1.1599999999999999E-2</v>
      </c>
      <c r="L25" s="8">
        <v>2.3699999999999999E-2</v>
      </c>
      <c r="M25" s="8">
        <v>5.5999999999999999E-3</v>
      </c>
      <c r="N25" s="7">
        <v>1.21E-2</v>
      </c>
      <c r="O25" s="7">
        <v>7.3999999999999969E-3</v>
      </c>
      <c r="P25" s="7">
        <v>7.5000000000000006E-3</v>
      </c>
      <c r="Q25" s="7">
        <v>-4.1322314049585529E-3</v>
      </c>
      <c r="R25" s="7">
        <v>3.5951999999999998E-2</v>
      </c>
      <c r="S25" s="7">
        <v>4.0000000000000002E-4</v>
      </c>
    </row>
    <row r="26" spans="1:19" x14ac:dyDescent="0.3">
      <c r="A26" s="3">
        <v>194901</v>
      </c>
      <c r="B26" s="6">
        <f t="shared" si="0"/>
        <v>1.672925553714559E-3</v>
      </c>
      <c r="C26" s="4">
        <f t="shared" si="1"/>
        <v>1.676E-3</v>
      </c>
      <c r="D26" s="5">
        <v>6.2198883048620236E-2</v>
      </c>
      <c r="E26" s="5">
        <v>6.2280723684210532E-2</v>
      </c>
      <c r="F26" s="7">
        <v>0.15243101182654401</v>
      </c>
      <c r="G26" s="7">
        <v>0.40804612068965523</v>
      </c>
      <c r="H26" s="7">
        <v>1.3129862260000001E-3</v>
      </c>
      <c r="I26" s="7">
        <v>0.83240285841893702</v>
      </c>
      <c r="J26" s="7">
        <v>1.3297683998941273E-2</v>
      </c>
      <c r="K26" s="8">
        <v>1.1699999999999999E-2</v>
      </c>
      <c r="L26" s="8">
        <v>2.3300000000000001E-2</v>
      </c>
      <c r="M26" s="8">
        <v>8.2000000000000007E-3</v>
      </c>
      <c r="N26" s="7">
        <v>1.1600000000000003E-2</v>
      </c>
      <c r="O26" s="7">
        <v>7.4999999999999997E-3</v>
      </c>
      <c r="P26" s="7">
        <v>-4.4000000000000011E-3</v>
      </c>
      <c r="Q26" s="7">
        <v>-4.1493775933610921E-3</v>
      </c>
      <c r="R26" s="7">
        <v>2.676E-3</v>
      </c>
      <c r="S26" s="7">
        <v>1E-3</v>
      </c>
    </row>
    <row r="27" spans="1:19" x14ac:dyDescent="0.3">
      <c r="A27" s="3">
        <v>194902</v>
      </c>
      <c r="B27" s="6">
        <f t="shared" si="0"/>
        <v>-3.3049922586655164E-2</v>
      </c>
      <c r="C27" s="4">
        <f t="shared" si="1"/>
        <v>-3.2538999999999998E-2</v>
      </c>
      <c r="D27" s="5">
        <v>6.5891450068399457E-2</v>
      </c>
      <c r="E27" s="5">
        <v>6.3293889618922461E-2</v>
      </c>
      <c r="F27" s="7">
        <v>0.16073871409028728</v>
      </c>
      <c r="G27" s="7">
        <v>0.40992893617021275</v>
      </c>
      <c r="H27" s="7">
        <v>1.4096786060000003E-3</v>
      </c>
      <c r="I27" s="7">
        <v>0.86155090719981509</v>
      </c>
      <c r="J27" s="7">
        <v>1.721902746525563E-2</v>
      </c>
      <c r="K27" s="8">
        <v>1.1699999999999999E-2</v>
      </c>
      <c r="L27" s="8">
        <v>2.3099999999999999E-2</v>
      </c>
      <c r="M27" s="8">
        <v>4.8999999999999998E-3</v>
      </c>
      <c r="N27" s="7">
        <v>1.14E-2</v>
      </c>
      <c r="O27" s="7">
        <v>7.4000000000000038E-3</v>
      </c>
      <c r="P27" s="7">
        <v>-1.0999999999999998E-3</v>
      </c>
      <c r="Q27" s="7">
        <v>-8.3333333333333037E-3</v>
      </c>
      <c r="R27" s="7">
        <v>-3.1639E-2</v>
      </c>
      <c r="S27" s="7">
        <v>8.9999999999999998E-4</v>
      </c>
    </row>
    <row r="28" spans="1:19" x14ac:dyDescent="0.3">
      <c r="A28" s="3">
        <v>194903</v>
      </c>
      <c r="B28" s="6">
        <f t="shared" si="0"/>
        <v>3.2416900342547683E-2</v>
      </c>
      <c r="C28" s="4">
        <f t="shared" si="1"/>
        <v>3.2980999999999996E-2</v>
      </c>
      <c r="D28" s="5">
        <v>6.5073041168658696E-2</v>
      </c>
      <c r="E28" s="5">
        <v>6.7031463748290013E-2</v>
      </c>
      <c r="F28" s="7">
        <v>0.15803452855245684</v>
      </c>
      <c r="G28" s="7">
        <v>0.41176470588235298</v>
      </c>
      <c r="H28" s="7">
        <v>1.120894145E-3</v>
      </c>
      <c r="I28" s="7">
        <v>0.90175042348955392</v>
      </c>
      <c r="J28" s="7">
        <v>1.4658968413256547E-2</v>
      </c>
      <c r="K28" s="8">
        <v>1.1699999999999999E-2</v>
      </c>
      <c r="L28" s="8">
        <v>2.2700000000000001E-2</v>
      </c>
      <c r="M28" s="8">
        <v>7.4000000000000003E-3</v>
      </c>
      <c r="N28" s="7">
        <v>1.1000000000000003E-2</v>
      </c>
      <c r="O28" s="7">
        <v>7.6999999999999985E-3</v>
      </c>
      <c r="P28" s="7">
        <v>-6.7000000000000002E-3</v>
      </c>
      <c r="Q28" s="7">
        <v>0</v>
      </c>
      <c r="R28" s="7">
        <v>3.3980999999999997E-2</v>
      </c>
      <c r="S28" s="7">
        <v>1E-3</v>
      </c>
    </row>
    <row r="29" spans="1:19" x14ac:dyDescent="0.3">
      <c r="A29" s="3">
        <v>194904</v>
      </c>
      <c r="B29" s="6">
        <f t="shared" si="0"/>
        <v>-1.9767479547398808E-2</v>
      </c>
      <c r="C29" s="4">
        <f t="shared" si="1"/>
        <v>-1.9591000000000001E-2</v>
      </c>
      <c r="D29" s="5">
        <v>6.7390298507462684E-2</v>
      </c>
      <c r="E29" s="5">
        <v>6.595836653386454E-2</v>
      </c>
      <c r="F29" s="7">
        <v>0.16191791044776119</v>
      </c>
      <c r="G29" s="7">
        <v>0.41620039636816147</v>
      </c>
      <c r="H29" s="7">
        <v>4.9927059700000001E-4</v>
      </c>
      <c r="I29" s="7">
        <v>0.91749971274273234</v>
      </c>
      <c r="J29" s="7">
        <v>1.5288746191675931E-2</v>
      </c>
      <c r="K29" s="8">
        <v>1.1699999999999999E-2</v>
      </c>
      <c r="L29" s="8">
        <v>2.2700000000000001E-2</v>
      </c>
      <c r="M29" s="8">
        <v>1.1000000000000001E-3</v>
      </c>
      <c r="N29" s="7">
        <v>1.1000000000000003E-2</v>
      </c>
      <c r="O29" s="7">
        <v>7.4999999999999997E-3</v>
      </c>
      <c r="P29" s="7">
        <v>1.1999999999999999E-3</v>
      </c>
      <c r="Q29" s="7">
        <v>4.2016806722688926E-3</v>
      </c>
      <c r="R29" s="7">
        <v>-1.8690999999999999E-2</v>
      </c>
      <c r="S29" s="7">
        <v>8.9999999999999998E-4</v>
      </c>
    </row>
    <row r="30" spans="1:19" x14ac:dyDescent="0.3">
      <c r="A30" s="3">
        <v>194905</v>
      </c>
      <c r="B30" s="6">
        <f t="shared" si="0"/>
        <v>-3.086403930733991E-2</v>
      </c>
      <c r="C30" s="4">
        <f t="shared" si="1"/>
        <v>-3.0423000000000002E-2</v>
      </c>
      <c r="D30" s="5">
        <v>7.0942212825933756E-2</v>
      </c>
      <c r="E30" s="5">
        <v>6.8295115332428755E-2</v>
      </c>
      <c r="F30" s="7">
        <v>0.16866314305849192</v>
      </c>
      <c r="G30" s="7">
        <v>0.42061479194260709</v>
      </c>
      <c r="H30" s="7">
        <v>1.007660117E-3</v>
      </c>
      <c r="I30" s="7">
        <v>0.94856260394392955</v>
      </c>
      <c r="J30" s="7">
        <v>1.6901436208171056E-2</v>
      </c>
      <c r="K30" s="8">
        <v>1.1699999999999999E-2</v>
      </c>
      <c r="L30" s="8">
        <v>2.2700000000000001E-2</v>
      </c>
      <c r="M30" s="8">
        <v>1.9E-3</v>
      </c>
      <c r="N30" s="7">
        <v>1.1000000000000003E-2</v>
      </c>
      <c r="O30" s="7">
        <v>7.4000000000000038E-3</v>
      </c>
      <c r="P30" s="7">
        <v>1.9E-3</v>
      </c>
      <c r="Q30" s="7">
        <v>-4.1841004184099972E-3</v>
      </c>
      <c r="R30" s="7">
        <v>-2.9423000000000001E-2</v>
      </c>
      <c r="S30" s="7">
        <v>1E-3</v>
      </c>
    </row>
    <row r="31" spans="1:19" x14ac:dyDescent="0.3">
      <c r="A31" s="3">
        <v>194906</v>
      </c>
      <c r="B31" s="6">
        <f t="shared" si="0"/>
        <v>7.4298066475329263E-4</v>
      </c>
      <c r="C31" s="4">
        <f t="shared" si="1"/>
        <v>7.4400000000000009E-4</v>
      </c>
      <c r="D31" s="5">
        <v>7.2033898305084748E-2</v>
      </c>
      <c r="E31" s="5">
        <v>7.1881606765327705E-2</v>
      </c>
      <c r="F31" s="7">
        <v>0.16949152542372881</v>
      </c>
      <c r="G31" s="7">
        <v>0.42500000000000004</v>
      </c>
      <c r="H31" s="7">
        <v>1.6978116739999999E-3</v>
      </c>
      <c r="I31" s="7">
        <v>0.95388842432206422</v>
      </c>
      <c r="J31" s="7">
        <v>1.6812418029371688E-2</v>
      </c>
      <c r="K31" s="8">
        <v>1.1699999999999999E-2</v>
      </c>
      <c r="L31" s="8">
        <v>2.1700000000000001E-2</v>
      </c>
      <c r="M31" s="8">
        <v>1.67E-2</v>
      </c>
      <c r="N31" s="7">
        <v>1.0000000000000002E-2</v>
      </c>
      <c r="O31" s="7">
        <v>7.6000000000000026E-3</v>
      </c>
      <c r="P31" s="7">
        <v>-8.3000000000000001E-3</v>
      </c>
      <c r="Q31" s="7">
        <v>4.2016806722688926E-3</v>
      </c>
      <c r="R31" s="7">
        <v>1.7440000000000001E-3</v>
      </c>
      <c r="S31" s="7">
        <v>1E-3</v>
      </c>
    </row>
    <row r="32" spans="1:19" x14ac:dyDescent="0.3">
      <c r="A32" s="3">
        <v>194907</v>
      </c>
      <c r="B32" s="6">
        <f t="shared" si="0"/>
        <v>5.9943355679241514E-2</v>
      </c>
      <c r="C32" s="4">
        <f t="shared" si="1"/>
        <v>6.1831999999999998E-2</v>
      </c>
      <c r="D32" s="5">
        <v>6.8262632978723412E-2</v>
      </c>
      <c r="E32" s="5">
        <v>7.2504943502824853E-2</v>
      </c>
      <c r="F32" s="7">
        <v>0.1593530585106383</v>
      </c>
      <c r="G32" s="7">
        <v>0.42837353494640484</v>
      </c>
      <c r="H32" s="7">
        <v>6.4088089400000004E-4</v>
      </c>
      <c r="I32" s="7">
        <v>0.90779899954524779</v>
      </c>
      <c r="J32" s="7">
        <v>1.9511397045253221E-2</v>
      </c>
      <c r="K32" s="8">
        <v>1.0200000000000001E-2</v>
      </c>
      <c r="L32" s="8">
        <v>2.1600000000000001E-2</v>
      </c>
      <c r="M32" s="8">
        <v>3.3E-3</v>
      </c>
      <c r="N32" s="7">
        <v>1.14E-2</v>
      </c>
      <c r="O32" s="7">
        <v>7.9000000000000008E-3</v>
      </c>
      <c r="P32" s="7">
        <v>6.6000000000000008E-3</v>
      </c>
      <c r="Q32" s="7">
        <v>-8.3682008368201055E-3</v>
      </c>
      <c r="R32" s="7">
        <v>6.2731999999999996E-2</v>
      </c>
      <c r="S32" s="7">
        <v>8.9999999999999998E-4</v>
      </c>
    </row>
    <row r="33" spans="1:19" x14ac:dyDescent="0.3">
      <c r="A33" s="3">
        <v>194908</v>
      </c>
      <c r="B33" s="6">
        <f t="shared" si="0"/>
        <v>2.0666182671724591E-2</v>
      </c>
      <c r="C33" s="4">
        <f t="shared" si="1"/>
        <v>2.0899999999999998E-2</v>
      </c>
      <c r="D33" s="5">
        <v>6.789290407358739E-2</v>
      </c>
      <c r="E33" s="5">
        <v>6.8705452127659578E-2</v>
      </c>
      <c r="F33" s="7">
        <v>0.15724901445466491</v>
      </c>
      <c r="G33" s="7">
        <v>0.43175408322295716</v>
      </c>
      <c r="H33" s="7">
        <v>1.073536357E-3</v>
      </c>
      <c r="I33" s="7">
        <v>0.89387663718795474</v>
      </c>
      <c r="J33" s="7">
        <v>1.9440800875955937E-2</v>
      </c>
      <c r="K33" s="8">
        <v>1.04E-2</v>
      </c>
      <c r="L33" s="8">
        <v>2.1000000000000001E-2</v>
      </c>
      <c r="M33" s="8">
        <v>1.11E-2</v>
      </c>
      <c r="N33" s="7">
        <v>1.0600000000000002E-2</v>
      </c>
      <c r="O33" s="7">
        <v>7.8000000000000014E-3</v>
      </c>
      <c r="P33" s="7">
        <v>-7.4000000000000003E-3</v>
      </c>
      <c r="Q33" s="7">
        <v>4.2194092827005925E-3</v>
      </c>
      <c r="R33" s="7">
        <v>2.18E-2</v>
      </c>
      <c r="S33" s="7">
        <v>8.9999999999999998E-4</v>
      </c>
    </row>
    <row r="34" spans="1:19" x14ac:dyDescent="0.3">
      <c r="A34" s="3">
        <v>194909</v>
      </c>
      <c r="B34" s="6">
        <f t="shared" si="0"/>
        <v>2.6146343662682779E-2</v>
      </c>
      <c r="C34" s="4">
        <f t="shared" si="1"/>
        <v>2.6514999999999997E-2</v>
      </c>
      <c r="D34" s="5">
        <v>6.6752246469833118E-2</v>
      </c>
      <c r="E34" s="5">
        <v>6.8331143232588695E-2</v>
      </c>
      <c r="F34" s="7">
        <v>0.15340179717586649</v>
      </c>
      <c r="G34" s="7">
        <v>0.43514644351464432</v>
      </c>
      <c r="H34" s="7">
        <v>1.5475937490000001E-3</v>
      </c>
      <c r="I34" s="7">
        <v>0.87502054681935237</v>
      </c>
      <c r="J34" s="7">
        <v>2.3343413848558189E-2</v>
      </c>
      <c r="K34" s="8">
        <v>1.0700000000000001E-2</v>
      </c>
      <c r="L34" s="8">
        <v>2.12E-2</v>
      </c>
      <c r="M34" s="8">
        <v>-1.1000000000000001E-3</v>
      </c>
      <c r="N34" s="7">
        <v>1.0499999999999999E-2</v>
      </c>
      <c r="O34" s="7">
        <v>7.6999999999999985E-3</v>
      </c>
      <c r="P34" s="7">
        <v>3.1999999999999997E-3</v>
      </c>
      <c r="Q34" s="7">
        <v>4.2016806722688926E-3</v>
      </c>
      <c r="R34" s="7">
        <v>2.7414999999999998E-2</v>
      </c>
      <c r="S34" s="7">
        <v>8.9999999999999998E-4</v>
      </c>
    </row>
    <row r="35" spans="1:19" x14ac:dyDescent="0.3">
      <c r="A35" s="3">
        <v>194910</v>
      </c>
      <c r="B35" s="6">
        <f t="shared" si="0"/>
        <v>2.8445591951628955E-2</v>
      </c>
      <c r="C35" s="4">
        <f t="shared" si="1"/>
        <v>2.8879999999999999E-2</v>
      </c>
      <c r="D35" s="5">
        <v>6.6915835411471322E-2</v>
      </c>
      <c r="E35" s="5">
        <v>6.889152759948651E-2</v>
      </c>
      <c r="F35" s="7">
        <v>0.14754800498753118</v>
      </c>
      <c r="G35" s="7">
        <v>0.45351907955059212</v>
      </c>
      <c r="H35" s="7">
        <v>6.1350204500000007E-4</v>
      </c>
      <c r="I35" s="7">
        <v>0.84256621293658329</v>
      </c>
      <c r="J35" s="7">
        <v>2.2233307223007221E-2</v>
      </c>
      <c r="K35" s="8">
        <v>1.0500000000000001E-2</v>
      </c>
      <c r="L35" s="8">
        <v>2.12E-2</v>
      </c>
      <c r="M35" s="8">
        <v>1.9E-3</v>
      </c>
      <c r="N35" s="7">
        <v>1.0699999999999999E-2</v>
      </c>
      <c r="O35" s="7">
        <v>7.4999999999999997E-3</v>
      </c>
      <c r="P35" s="7">
        <v>4.8000000000000004E-3</v>
      </c>
      <c r="Q35" s="7">
        <v>-8.3682008368201055E-3</v>
      </c>
      <c r="R35" s="7">
        <v>2.9780000000000001E-2</v>
      </c>
      <c r="S35" s="7">
        <v>8.9999999999999998E-4</v>
      </c>
    </row>
    <row r="36" spans="1:19" x14ac:dyDescent="0.3">
      <c r="A36" s="3">
        <v>194911</v>
      </c>
      <c r="B36" s="6">
        <f t="shared" si="0"/>
        <v>1.9726214916161413E-2</v>
      </c>
      <c r="C36" s="4">
        <f t="shared" si="1"/>
        <v>1.9938000000000001E-2</v>
      </c>
      <c r="D36" s="5">
        <v>6.8908468244084697E-2</v>
      </c>
      <c r="E36" s="5">
        <v>6.8994389027431421E-2</v>
      </c>
      <c r="F36" s="7">
        <v>0.1459109589041096</v>
      </c>
      <c r="G36" s="7">
        <v>0.4722638296782784</v>
      </c>
      <c r="H36" s="7">
        <v>9.0886154900000026E-4</v>
      </c>
      <c r="I36" s="7">
        <v>0.83372487601148515</v>
      </c>
      <c r="J36" s="7">
        <v>2.3643166423016886E-2</v>
      </c>
      <c r="K36" s="8">
        <v>1.0800000000000001E-2</v>
      </c>
      <c r="L36" s="8">
        <v>2.12E-2</v>
      </c>
      <c r="M36" s="8">
        <v>2.0999999999999999E-3</v>
      </c>
      <c r="N36" s="7">
        <v>1.04E-2</v>
      </c>
      <c r="O36" s="7">
        <v>7.4999999999999997E-3</v>
      </c>
      <c r="P36" s="7">
        <v>0</v>
      </c>
      <c r="Q36" s="7">
        <v>4.2194092827005925E-3</v>
      </c>
      <c r="R36" s="7">
        <v>2.0737999999999999E-2</v>
      </c>
      <c r="S36" s="7">
        <v>8.0000000000000004E-4</v>
      </c>
    </row>
    <row r="37" spans="1:19" x14ac:dyDescent="0.3">
      <c r="A37" s="3">
        <v>194912</v>
      </c>
      <c r="B37" s="6">
        <f t="shared" si="0"/>
        <v>4.8827272939523186E-2</v>
      </c>
      <c r="C37" s="4">
        <f t="shared" si="1"/>
        <v>5.0084000000000004E-2</v>
      </c>
      <c r="D37" s="5">
        <v>6.8019093078758933E-2</v>
      </c>
      <c r="E37" s="5">
        <v>7.0983810709838113E-2</v>
      </c>
      <c r="F37" s="7">
        <v>0.13842482100238662</v>
      </c>
      <c r="G37" s="7">
        <v>0.49137931034482757</v>
      </c>
      <c r="H37" s="7">
        <v>4.7323949399999995E-4</v>
      </c>
      <c r="I37" s="7">
        <v>0.79642928386195877</v>
      </c>
      <c r="J37" s="7">
        <v>2.7175581995091392E-2</v>
      </c>
      <c r="K37" s="8">
        <v>1.1000000000000001E-2</v>
      </c>
      <c r="L37" s="8">
        <v>2.0899999999999998E-2</v>
      </c>
      <c r="M37" s="8">
        <v>5.1999999999999998E-3</v>
      </c>
      <c r="N37" s="7">
        <v>9.8999999999999973E-3</v>
      </c>
      <c r="O37" s="7">
        <v>7.2999999999999975E-3</v>
      </c>
      <c r="P37" s="7">
        <v>-1.9700000000000002E-2</v>
      </c>
      <c r="Q37" s="7">
        <v>-8.4033613445377853E-3</v>
      </c>
      <c r="R37" s="7">
        <v>5.0984000000000002E-2</v>
      </c>
      <c r="S37" s="7">
        <v>8.9999999999999998E-4</v>
      </c>
    </row>
    <row r="38" spans="1:19" x14ac:dyDescent="0.3">
      <c r="A38" s="3">
        <v>195001</v>
      </c>
      <c r="B38" s="6">
        <f t="shared" si="0"/>
        <v>1.861181318265619E-2</v>
      </c>
      <c r="C38" s="4">
        <f t="shared" si="1"/>
        <v>1.8802999999999997E-2</v>
      </c>
      <c r="D38" s="5">
        <v>6.7448680351906154E-2</v>
      </c>
      <c r="E38" s="5">
        <v>6.8615751789976129E-2</v>
      </c>
      <c r="F38" s="7">
        <v>0.13704809384164221</v>
      </c>
      <c r="G38" s="7">
        <v>0.49215336354727024</v>
      </c>
      <c r="H38" s="7">
        <v>9.8915297499999988E-4</v>
      </c>
      <c r="I38" s="7">
        <v>0.79141681946578124</v>
      </c>
      <c r="J38" s="7">
        <v>2.7102225852408384E-2</v>
      </c>
      <c r="K38" s="8">
        <v>1.0700000000000001E-2</v>
      </c>
      <c r="L38" s="8">
        <v>2.1499999999999998E-2</v>
      </c>
      <c r="M38" s="8">
        <v>-6.1000000000000004E-3</v>
      </c>
      <c r="N38" s="7">
        <v>1.0799999999999997E-2</v>
      </c>
      <c r="O38" s="7">
        <v>6.700000000000008E-3</v>
      </c>
      <c r="P38" s="7">
        <v>9.7999999999999997E-3</v>
      </c>
      <c r="Q38" s="7">
        <v>-4.2372881355933201E-3</v>
      </c>
      <c r="R38" s="7">
        <v>1.9702999999999998E-2</v>
      </c>
      <c r="S38" s="7">
        <v>8.9999999999999998E-4</v>
      </c>
    </row>
    <row r="39" spans="1:19" x14ac:dyDescent="0.3">
      <c r="A39" s="3">
        <v>195002</v>
      </c>
      <c r="B39" s="6">
        <f t="shared" si="0"/>
        <v>1.851374060298434E-2</v>
      </c>
      <c r="C39" s="4">
        <f t="shared" si="1"/>
        <v>1.8702999999999997E-2</v>
      </c>
      <c r="D39" s="5">
        <v>6.7363530778164926E-2</v>
      </c>
      <c r="E39" s="5">
        <v>6.8035190615835767E-2</v>
      </c>
      <c r="F39" s="7">
        <v>0.13666260162601629</v>
      </c>
      <c r="G39" s="7">
        <v>0.4929185452104039</v>
      </c>
      <c r="H39" s="7">
        <v>4.2601425599999996E-4</v>
      </c>
      <c r="I39" s="7">
        <v>0.78499803381832478</v>
      </c>
      <c r="J39" s="7">
        <v>2.5491649147044094E-2</v>
      </c>
      <c r="K39" s="8">
        <v>1.1200000000000002E-2</v>
      </c>
      <c r="L39" s="8">
        <v>2.1399999999999999E-2</v>
      </c>
      <c r="M39" s="8">
        <v>2.0999999999999999E-3</v>
      </c>
      <c r="N39" s="7">
        <v>1.0199999999999997E-2</v>
      </c>
      <c r="O39" s="7">
        <v>6.6000000000000052E-3</v>
      </c>
      <c r="P39" s="7">
        <v>-1.3999999999999998E-3</v>
      </c>
      <c r="Q39" s="7">
        <v>0</v>
      </c>
      <c r="R39" s="7">
        <v>1.9602999999999999E-2</v>
      </c>
      <c r="S39" s="7">
        <v>8.9999999999999998E-4</v>
      </c>
    </row>
    <row r="40" spans="1:19" x14ac:dyDescent="0.3">
      <c r="A40" s="3">
        <v>195003</v>
      </c>
      <c r="B40" s="6">
        <f t="shared" si="0"/>
        <v>7.1521842222348085E-3</v>
      </c>
      <c r="C40" s="4">
        <f t="shared" si="1"/>
        <v>7.1849999999999995E-3</v>
      </c>
      <c r="D40" s="5">
        <v>6.7669172932330823E-2</v>
      </c>
      <c r="E40" s="5">
        <v>6.7944250871080136E-2</v>
      </c>
      <c r="F40" s="7">
        <v>0.13707345286292655</v>
      </c>
      <c r="G40" s="7">
        <v>0.49367088607594933</v>
      </c>
      <c r="H40" s="7">
        <v>6.2430247800000012E-4</v>
      </c>
      <c r="I40" s="7">
        <v>0.82552778451832076</v>
      </c>
      <c r="J40" s="7">
        <v>2.9291341669718397E-2</v>
      </c>
      <c r="K40" s="8">
        <v>1.1200000000000002E-2</v>
      </c>
      <c r="L40" s="8">
        <v>2.1499999999999998E-2</v>
      </c>
      <c r="M40" s="8">
        <v>8.0000000000000004E-4</v>
      </c>
      <c r="N40" s="7">
        <v>1.0299999999999997E-2</v>
      </c>
      <c r="O40" s="7">
        <v>6.6000000000000052E-3</v>
      </c>
      <c r="P40" s="7">
        <v>1.4000000000000002E-3</v>
      </c>
      <c r="Q40" s="7">
        <v>4.2553191489362874E-3</v>
      </c>
      <c r="R40" s="7">
        <v>8.1849999999999996E-3</v>
      </c>
      <c r="S40" s="7">
        <v>1E-3</v>
      </c>
    </row>
    <row r="41" spans="1:19" x14ac:dyDescent="0.3">
      <c r="A41" s="3">
        <v>195004</v>
      </c>
      <c r="B41" s="6">
        <f t="shared" si="0"/>
        <v>4.3965733971436174E-2</v>
      </c>
      <c r="C41" s="4">
        <f t="shared" si="1"/>
        <v>4.4986999999999999E-2</v>
      </c>
      <c r="D41" s="5">
        <v>6.5301604869950194E-2</v>
      </c>
      <c r="E41" s="5">
        <v>6.8247541931752462E-2</v>
      </c>
      <c r="F41" s="7">
        <v>0.13429275041505256</v>
      </c>
      <c r="G41" s="7">
        <v>0.48626306831996108</v>
      </c>
      <c r="H41" s="7">
        <v>7.1401073900000003E-4</v>
      </c>
      <c r="I41" s="7">
        <v>0.79649747143659855</v>
      </c>
      <c r="J41" s="7">
        <v>2.6397514462720255E-2</v>
      </c>
      <c r="K41" s="8">
        <v>1.15E-2</v>
      </c>
      <c r="L41" s="8">
        <v>2.1399999999999999E-2</v>
      </c>
      <c r="M41" s="8">
        <v>3.0000000000000001E-3</v>
      </c>
      <c r="N41" s="7">
        <v>9.8999999999999991E-3</v>
      </c>
      <c r="O41" s="7">
        <v>6.3E-3</v>
      </c>
      <c r="P41" s="7">
        <v>-3.8E-3</v>
      </c>
      <c r="Q41" s="7">
        <v>0</v>
      </c>
      <c r="R41" s="7">
        <v>4.5886999999999997E-2</v>
      </c>
      <c r="S41" s="7">
        <v>8.9999999999999998E-4</v>
      </c>
    </row>
    <row r="42" spans="1:19" x14ac:dyDescent="0.3">
      <c r="A42" s="3">
        <v>195005</v>
      </c>
      <c r="B42" s="6">
        <f t="shared" si="0"/>
        <v>4.4835826410403623E-2</v>
      </c>
      <c r="C42" s="4">
        <f t="shared" si="1"/>
        <v>4.5901999999999998E-2</v>
      </c>
      <c r="D42" s="5">
        <v>6.336528221512247E-2</v>
      </c>
      <c r="E42" s="5">
        <v>6.5855008301051468E-2</v>
      </c>
      <c r="F42" s="7">
        <v>0.13223269435569754</v>
      </c>
      <c r="G42" s="7">
        <v>0.4791952740876162</v>
      </c>
      <c r="H42" s="7">
        <v>6.4126298299999995E-4</v>
      </c>
      <c r="I42" s="7">
        <v>0.76134634321009764</v>
      </c>
      <c r="J42" s="7">
        <v>2.8572263411493999E-2</v>
      </c>
      <c r="K42" s="8">
        <v>1.1599999999999999E-2</v>
      </c>
      <c r="L42" s="8">
        <v>2.1299999999999999E-2</v>
      </c>
      <c r="M42" s="8">
        <v>3.3E-3</v>
      </c>
      <c r="N42" s="7">
        <v>9.7000000000000003E-3</v>
      </c>
      <c r="O42" s="7">
        <v>6.4000000000000029E-3</v>
      </c>
      <c r="P42" s="7">
        <v>-4.1000000000000003E-3</v>
      </c>
      <c r="Q42" s="7">
        <v>4.237288135593209E-3</v>
      </c>
      <c r="R42" s="7">
        <v>4.6901999999999999E-2</v>
      </c>
      <c r="S42" s="7">
        <v>1E-3</v>
      </c>
    </row>
    <row r="43" spans="1:19" x14ac:dyDescent="0.3">
      <c r="A43" s="3">
        <v>195006</v>
      </c>
      <c r="B43" s="6">
        <f t="shared" si="0"/>
        <v>-5.6749024771029048E-2</v>
      </c>
      <c r="C43" s="4">
        <f t="shared" si="1"/>
        <v>-5.5224000000000002E-2</v>
      </c>
      <c r="D43" s="5">
        <v>6.7834934991520629E-2</v>
      </c>
      <c r="E43" s="5">
        <v>6.3897763578274758E-2</v>
      </c>
      <c r="F43" s="7">
        <v>0.14358394573205199</v>
      </c>
      <c r="G43" s="7">
        <v>0.47244094488188976</v>
      </c>
      <c r="H43" s="7">
        <v>5.8557165030000006E-3</v>
      </c>
      <c r="I43" s="7">
        <v>0.81344746783989275</v>
      </c>
      <c r="J43" s="7">
        <v>3.0396650480538766E-2</v>
      </c>
      <c r="K43" s="8">
        <v>1.15E-2</v>
      </c>
      <c r="L43" s="8">
        <v>2.1600000000000001E-2</v>
      </c>
      <c r="M43" s="8">
        <v>-2.5000000000000001E-3</v>
      </c>
      <c r="N43" s="7">
        <v>1.0100000000000001E-2</v>
      </c>
      <c r="O43" s="7">
        <v>6.5999999999999948E-3</v>
      </c>
      <c r="P43" s="7">
        <v>4.8000000000000004E-3</v>
      </c>
      <c r="Q43" s="7">
        <v>4.2194092827005925E-3</v>
      </c>
      <c r="R43" s="7">
        <v>-5.4224000000000001E-2</v>
      </c>
      <c r="S43" s="7">
        <v>1E-3</v>
      </c>
    </row>
    <row r="44" spans="1:19" x14ac:dyDescent="0.3">
      <c r="A44" s="3">
        <v>195007</v>
      </c>
      <c r="B44" s="6">
        <f t="shared" si="0"/>
        <v>1.5838934159607826E-2</v>
      </c>
      <c r="C44" s="4">
        <f t="shared" si="1"/>
        <v>1.5980999999999999E-2</v>
      </c>
      <c r="D44" s="5">
        <v>6.9693385650224218E-2</v>
      </c>
      <c r="E44" s="5">
        <v>7.0284341435839448E-2</v>
      </c>
      <c r="F44" s="7">
        <v>0.14573991031390135</v>
      </c>
      <c r="G44" s="7">
        <v>0.47820384615384615</v>
      </c>
      <c r="H44" s="7">
        <v>3.110250034E-3</v>
      </c>
      <c r="I44" s="7">
        <v>0.81232091690544406</v>
      </c>
      <c r="J44" s="7">
        <v>3.0117342134757672E-2</v>
      </c>
      <c r="K44" s="8">
        <v>1.1599999999999999E-2</v>
      </c>
      <c r="L44" s="8">
        <v>2.1399999999999999E-2</v>
      </c>
      <c r="M44" s="8">
        <v>5.4999999999999997E-3</v>
      </c>
      <c r="N44" s="7">
        <v>9.7999999999999997E-3</v>
      </c>
      <c r="O44" s="7">
        <v>6.7000000000000011E-3</v>
      </c>
      <c r="P44" s="7">
        <v>1.4000000000000002E-3</v>
      </c>
      <c r="Q44" s="7">
        <v>1.2605042016806678E-2</v>
      </c>
      <c r="R44" s="7">
        <v>1.6981E-2</v>
      </c>
      <c r="S44" s="7">
        <v>1E-3</v>
      </c>
    </row>
    <row r="45" spans="1:19" x14ac:dyDescent="0.3">
      <c r="A45" s="3">
        <v>195008</v>
      </c>
      <c r="B45" s="6">
        <f t="shared" si="0"/>
        <v>4.5944198262779387E-2</v>
      </c>
      <c r="C45" s="4">
        <f t="shared" si="1"/>
        <v>4.7063000000000001E-2</v>
      </c>
      <c r="D45" s="5">
        <v>6.9851791530944618E-2</v>
      </c>
      <c r="E45" s="5">
        <v>7.2122757847533636E-2</v>
      </c>
      <c r="F45" s="7">
        <v>0.14440825190010856</v>
      </c>
      <c r="G45" s="7">
        <v>0.48371052631578942</v>
      </c>
      <c r="H45" s="7">
        <v>1.0756051259999998E-3</v>
      </c>
      <c r="I45" s="7">
        <v>0.78434084935675741</v>
      </c>
      <c r="J45" s="7">
        <v>2.955086613481709E-2</v>
      </c>
      <c r="K45" s="8">
        <v>1.2E-2</v>
      </c>
      <c r="L45" s="8">
        <v>2.1399999999999999E-2</v>
      </c>
      <c r="M45" s="8">
        <v>1.4E-3</v>
      </c>
      <c r="N45" s="7">
        <v>9.3999999999999986E-3</v>
      </c>
      <c r="O45" s="7">
        <v>6.2000000000000041E-3</v>
      </c>
      <c r="P45" s="7">
        <v>2.4000000000000002E-3</v>
      </c>
      <c r="Q45" s="7">
        <v>8.2987551867219622E-3</v>
      </c>
      <c r="R45" s="7">
        <v>4.8063000000000002E-2</v>
      </c>
      <c r="S45" s="7">
        <v>1E-3</v>
      </c>
    </row>
    <row r="46" spans="1:19" x14ac:dyDescent="0.3">
      <c r="A46" s="3">
        <v>195009</v>
      </c>
      <c r="B46" s="6">
        <f t="shared" si="0"/>
        <v>5.6765507269440976E-2</v>
      </c>
      <c r="C46" s="4">
        <f t="shared" si="1"/>
        <v>5.8465999999999997E-2</v>
      </c>
      <c r="D46" s="5">
        <v>6.8380462724935739E-2</v>
      </c>
      <c r="E46" s="5">
        <v>7.2204125950054279E-2</v>
      </c>
      <c r="F46" s="7">
        <v>0.13984575835475579</v>
      </c>
      <c r="G46" s="7">
        <v>0.4889705882352941</v>
      </c>
      <c r="H46" s="7">
        <v>1.3183729690000002E-3</v>
      </c>
      <c r="I46" s="7">
        <v>0.75145785474465443</v>
      </c>
      <c r="J46" s="7">
        <v>2.5914206856823409E-2</v>
      </c>
      <c r="K46" s="8">
        <v>1.3000000000000001E-2</v>
      </c>
      <c r="L46" s="8">
        <v>2.1999999999999999E-2</v>
      </c>
      <c r="M46" s="8">
        <v>-7.1999999999999998E-3</v>
      </c>
      <c r="N46" s="7">
        <v>8.9999999999999976E-3</v>
      </c>
      <c r="O46" s="7">
        <v>5.6999999999999967E-3</v>
      </c>
      <c r="P46" s="7">
        <v>3.3E-3</v>
      </c>
      <c r="Q46" s="7">
        <v>4.1152263374484299E-3</v>
      </c>
      <c r="R46" s="7">
        <v>5.9465999999999998E-2</v>
      </c>
      <c r="S46" s="7">
        <v>1E-3</v>
      </c>
    </row>
    <row r="47" spans="1:19" x14ac:dyDescent="0.3">
      <c r="A47" s="3">
        <v>195010</v>
      </c>
      <c r="B47" s="6">
        <f t="shared" si="0"/>
        <v>3.8718395323209887E-3</v>
      </c>
      <c r="C47" s="4">
        <f t="shared" si="1"/>
        <v>3.8840000000000003E-3</v>
      </c>
      <c r="D47" s="5">
        <v>7.0490015360983108E-2</v>
      </c>
      <c r="E47" s="5">
        <v>7.077994858611826E-2</v>
      </c>
      <c r="F47" s="7">
        <v>0.14132104454685099</v>
      </c>
      <c r="G47" s="7">
        <v>0.49879347826086962</v>
      </c>
      <c r="H47" s="7">
        <v>1.7594065179999999E-3</v>
      </c>
      <c r="I47" s="7">
        <v>0.75596640149326699</v>
      </c>
      <c r="J47" s="7">
        <v>2.734103779800906E-2</v>
      </c>
      <c r="K47" s="8">
        <v>1.3100000000000001E-2</v>
      </c>
      <c r="L47" s="8">
        <v>2.2499999999999999E-2</v>
      </c>
      <c r="M47" s="8">
        <v>-4.7999999999999996E-3</v>
      </c>
      <c r="N47" s="7">
        <v>9.3999999999999986E-3</v>
      </c>
      <c r="O47" s="7">
        <v>5.5000000000000014E-3</v>
      </c>
      <c r="P47" s="7">
        <v>3.9999999999999992E-3</v>
      </c>
      <c r="Q47" s="7">
        <v>8.19672131147553E-3</v>
      </c>
      <c r="R47" s="7">
        <v>5.084E-3</v>
      </c>
      <c r="S47" s="7">
        <v>1.1999999999999999E-3</v>
      </c>
    </row>
    <row r="48" spans="1:19" x14ac:dyDescent="0.3">
      <c r="A48" s="3">
        <v>195011</v>
      </c>
      <c r="B48" s="6">
        <f t="shared" si="0"/>
        <v>2.108275149034761E-2</v>
      </c>
      <c r="C48" s="4">
        <f t="shared" si="1"/>
        <v>2.1329999999999998E-2</v>
      </c>
      <c r="D48" s="5">
        <v>7.2953869810353664E-2</v>
      </c>
      <c r="E48" s="5">
        <v>7.2879160266257029E-2</v>
      </c>
      <c r="F48" s="7">
        <v>0.14351614556637621</v>
      </c>
      <c r="G48" s="7">
        <v>0.5083321428571429</v>
      </c>
      <c r="H48" s="7">
        <v>2.4576730459999999E-3</v>
      </c>
      <c r="I48" s="7">
        <v>0.74736379613356763</v>
      </c>
      <c r="J48" s="7">
        <v>2.5540132200622644E-2</v>
      </c>
      <c r="K48" s="8">
        <v>1.3600000000000001E-2</v>
      </c>
      <c r="L48" s="8">
        <v>2.24E-2</v>
      </c>
      <c r="M48" s="8">
        <v>3.5000000000000001E-3</v>
      </c>
      <c r="N48" s="7">
        <v>8.7999999999999988E-3</v>
      </c>
      <c r="O48" s="7">
        <v>5.5000000000000014E-3</v>
      </c>
      <c r="P48" s="7">
        <v>1.9000000000000002E-3</v>
      </c>
      <c r="Q48" s="7">
        <v>4.0650406504063596E-3</v>
      </c>
      <c r="R48" s="7">
        <v>2.2429999999999999E-2</v>
      </c>
      <c r="S48" s="7">
        <v>1.1000000000000001E-3</v>
      </c>
    </row>
    <row r="49" spans="1:19" x14ac:dyDescent="0.3">
      <c r="A49" s="3">
        <v>195012</v>
      </c>
      <c r="B49" s="6">
        <f t="shared" si="0"/>
        <v>5.2844133966925715E-2</v>
      </c>
      <c r="C49" s="4">
        <f t="shared" si="1"/>
        <v>5.4325000000000005E-2</v>
      </c>
      <c r="D49" s="5">
        <v>7.2023517883390495E-2</v>
      </c>
      <c r="E49" s="5">
        <v>7.5345976422347513E-2</v>
      </c>
      <c r="F49" s="7">
        <v>0.13914747672709454</v>
      </c>
      <c r="G49" s="7">
        <v>0.51760563380281688</v>
      </c>
      <c r="H49" s="7">
        <v>2.4895409429999999E-3</v>
      </c>
      <c r="I49" s="7">
        <v>0.72253844193356553</v>
      </c>
      <c r="J49" s="7">
        <v>3.1359199992622835E-2</v>
      </c>
      <c r="K49" s="8">
        <v>1.34E-2</v>
      </c>
      <c r="L49" s="8">
        <v>2.24E-2</v>
      </c>
      <c r="M49" s="8">
        <v>1.6000000000000001E-3</v>
      </c>
      <c r="N49" s="7">
        <v>8.9999999999999993E-3</v>
      </c>
      <c r="O49" s="7">
        <v>5.3000000000000026E-3</v>
      </c>
      <c r="P49" s="7">
        <v>6.9999999999999988E-4</v>
      </c>
      <c r="Q49" s="7">
        <v>1.2145748987854255E-2</v>
      </c>
      <c r="R49" s="7">
        <v>5.5425000000000002E-2</v>
      </c>
      <c r="S49" s="7">
        <v>1.1000000000000001E-3</v>
      </c>
    </row>
    <row r="50" spans="1:19" x14ac:dyDescent="0.3">
      <c r="A50" s="3">
        <v>195101</v>
      </c>
      <c r="B50" s="6">
        <f t="shared" si="0"/>
        <v>6.1774230119236682E-2</v>
      </c>
      <c r="C50" s="4">
        <f t="shared" si="1"/>
        <v>6.3805000000000001E-2</v>
      </c>
      <c r="D50" s="5">
        <v>6.8636657433056317E-2</v>
      </c>
      <c r="E50" s="5">
        <v>7.2840274375306213E-2</v>
      </c>
      <c r="F50" s="7">
        <v>0.1309635272391505</v>
      </c>
      <c r="G50" s="7">
        <v>0.52408986593435258</v>
      </c>
      <c r="H50" s="7">
        <v>1.704688583E-3</v>
      </c>
      <c r="I50" s="7">
        <v>0.68359924446409193</v>
      </c>
      <c r="J50" s="7">
        <v>3.0045965488267334E-2</v>
      </c>
      <c r="K50" s="8">
        <v>1.34E-2</v>
      </c>
      <c r="L50" s="8">
        <v>2.2100000000000002E-2</v>
      </c>
      <c r="M50" s="8">
        <v>5.7999999999999996E-3</v>
      </c>
      <c r="N50" s="7">
        <v>8.7000000000000011E-3</v>
      </c>
      <c r="O50" s="7">
        <v>5.0999999999999969E-3</v>
      </c>
      <c r="P50" s="7">
        <v>-3.8999999999999998E-3</v>
      </c>
      <c r="Q50" s="7">
        <v>1.6000000000000014E-2</v>
      </c>
      <c r="R50" s="7">
        <v>6.5104999999999996E-2</v>
      </c>
      <c r="S50" s="7">
        <v>1.2999999999999999E-3</v>
      </c>
    </row>
    <row r="51" spans="1:19" x14ac:dyDescent="0.3">
      <c r="A51" s="3">
        <v>195102</v>
      </c>
      <c r="B51" s="6">
        <f t="shared" si="0"/>
        <v>1.3441721455974939E-2</v>
      </c>
      <c r="C51" s="4">
        <f t="shared" si="1"/>
        <v>1.3545999999999999E-2</v>
      </c>
      <c r="D51" s="5">
        <v>6.8960091743119262E-2</v>
      </c>
      <c r="E51" s="5">
        <v>6.9405817174515244E-2</v>
      </c>
      <c r="F51" s="7">
        <v>0.12996926605504588</v>
      </c>
      <c r="G51" s="7">
        <v>0.53058768304433301</v>
      </c>
      <c r="H51" s="7">
        <v>6.5064396300000007E-4</v>
      </c>
      <c r="I51" s="7">
        <v>0.67486609799642927</v>
      </c>
      <c r="J51" s="7">
        <v>3.1120933361576158E-2</v>
      </c>
      <c r="K51" s="8">
        <v>1.3600000000000001E-2</v>
      </c>
      <c r="L51" s="8">
        <v>2.2800000000000001E-2</v>
      </c>
      <c r="M51" s="8">
        <v>-7.4000000000000003E-3</v>
      </c>
      <c r="N51" s="7">
        <v>9.1999999999999998E-3</v>
      </c>
      <c r="O51" s="7">
        <v>5.000000000000001E-3</v>
      </c>
      <c r="P51" s="7">
        <v>3.0000000000000001E-3</v>
      </c>
      <c r="Q51" s="7">
        <v>1.1811023622047223E-2</v>
      </c>
      <c r="R51" s="7">
        <v>1.4546E-2</v>
      </c>
      <c r="S51" s="7">
        <v>1E-3</v>
      </c>
    </row>
    <row r="52" spans="1:19" x14ac:dyDescent="0.3">
      <c r="A52" s="3">
        <v>195103</v>
      </c>
      <c r="B52" s="6">
        <f t="shared" si="0"/>
        <v>-1.8738045827343484E-2</v>
      </c>
      <c r="C52" s="4">
        <f t="shared" si="1"/>
        <v>-1.8584E-2</v>
      </c>
      <c r="D52" s="5">
        <v>7.1028037383177575E-2</v>
      </c>
      <c r="E52" s="5">
        <v>6.9724770642201839E-2</v>
      </c>
      <c r="F52" s="7">
        <v>0.13224299065420561</v>
      </c>
      <c r="G52" s="7">
        <v>0.53710247349823326</v>
      </c>
      <c r="H52" s="7">
        <v>1.2276649489999999E-3</v>
      </c>
      <c r="I52" s="7">
        <v>0.78139460024946683</v>
      </c>
      <c r="J52" s="7">
        <v>3.2687668948789252E-2</v>
      </c>
      <c r="K52" s="8">
        <v>1.3999999999999999E-2</v>
      </c>
      <c r="L52" s="8">
        <v>2.41E-2</v>
      </c>
      <c r="M52" s="8">
        <v>-1.5699999999999999E-2</v>
      </c>
      <c r="N52" s="7">
        <v>1.0100000000000001E-2</v>
      </c>
      <c r="O52" s="7">
        <v>4.500000000000004E-3</v>
      </c>
      <c r="P52" s="7">
        <v>-8.0000000000000002E-3</v>
      </c>
      <c r="Q52" s="7">
        <v>3.8910505836575737E-3</v>
      </c>
      <c r="R52" s="7">
        <v>-1.7484E-2</v>
      </c>
      <c r="S52" s="7">
        <v>1.1000000000000001E-3</v>
      </c>
    </row>
    <row r="53" spans="1:19" x14ac:dyDescent="0.3">
      <c r="A53" s="3">
        <v>195104</v>
      </c>
      <c r="B53" s="6">
        <f t="shared" si="0"/>
        <v>4.6641123578441746E-2</v>
      </c>
      <c r="C53" s="4">
        <f t="shared" si="1"/>
        <v>4.7807999999999996E-2</v>
      </c>
      <c r="D53" s="5">
        <v>6.8360677663843072E-2</v>
      </c>
      <c r="E53" s="5">
        <v>7.165093457943926E-2</v>
      </c>
      <c r="F53" s="7">
        <v>0.12453544360231833</v>
      </c>
      <c r="G53" s="7">
        <v>0.54892547604472086</v>
      </c>
      <c r="H53" s="7">
        <v>8.4819813699999998E-4</v>
      </c>
      <c r="I53" s="7">
        <v>0.74943078763554971</v>
      </c>
      <c r="J53" s="7">
        <v>3.2093341627105358E-2</v>
      </c>
      <c r="K53" s="8">
        <v>1.47E-2</v>
      </c>
      <c r="L53" s="8">
        <v>2.4799999999999999E-2</v>
      </c>
      <c r="M53" s="8">
        <v>-6.3E-3</v>
      </c>
      <c r="N53" s="7">
        <v>1.01E-2</v>
      </c>
      <c r="O53" s="7">
        <v>4.8000000000000022E-3</v>
      </c>
      <c r="P53" s="7">
        <v>5.4000000000000003E-3</v>
      </c>
      <c r="Q53" s="7">
        <v>0</v>
      </c>
      <c r="R53" s="7">
        <v>4.9107999999999999E-2</v>
      </c>
      <c r="S53" s="7">
        <v>1.2999999999999999E-3</v>
      </c>
    </row>
    <row r="54" spans="1:19" x14ac:dyDescent="0.3">
      <c r="A54" s="3">
        <v>195105</v>
      </c>
      <c r="B54" s="6">
        <f t="shared" si="0"/>
        <v>-3.1636838810001337E-2</v>
      </c>
      <c r="C54" s="4">
        <f t="shared" si="1"/>
        <v>-3.1178999999999998E-2</v>
      </c>
      <c r="D54" s="5">
        <v>7.1871282527881039E-2</v>
      </c>
      <c r="E54" s="5">
        <v>6.8955416852429785E-2</v>
      </c>
      <c r="F54" s="7">
        <v>0.12809804832713756</v>
      </c>
      <c r="G54" s="7">
        <v>0.56106461781787442</v>
      </c>
      <c r="H54" s="7">
        <v>1.4074200069999999E-3</v>
      </c>
      <c r="I54" s="7">
        <v>0.77788904466252751</v>
      </c>
      <c r="J54" s="7">
        <v>3.0675903819197669E-2</v>
      </c>
      <c r="K54" s="8">
        <v>1.55E-2</v>
      </c>
      <c r="L54" s="8">
        <v>2.5399999999999999E-2</v>
      </c>
      <c r="M54" s="8">
        <v>-6.8999999999999999E-3</v>
      </c>
      <c r="N54" s="7">
        <v>9.8999999999999991E-3</v>
      </c>
      <c r="O54" s="7">
        <v>5.1000000000000004E-3</v>
      </c>
      <c r="P54" s="7">
        <v>5.4000000000000003E-3</v>
      </c>
      <c r="Q54" s="7">
        <v>3.8759689922480689E-3</v>
      </c>
      <c r="R54" s="7">
        <v>-2.9978999999999999E-2</v>
      </c>
      <c r="S54" s="7">
        <v>1.1999999999999999E-3</v>
      </c>
    </row>
    <row r="55" spans="1:19" x14ac:dyDescent="0.3">
      <c r="A55" s="3">
        <v>195106</v>
      </c>
      <c r="B55" s="6">
        <f t="shared" si="0"/>
        <v>-2.738721059592172E-2</v>
      </c>
      <c r="C55" s="4">
        <f t="shared" si="1"/>
        <v>-2.7047999999999999E-2</v>
      </c>
      <c r="D55" s="5">
        <v>7.4427480916030533E-2</v>
      </c>
      <c r="E55" s="5">
        <v>7.24907063197026E-2</v>
      </c>
      <c r="F55" s="7">
        <v>0.12977099236641221</v>
      </c>
      <c r="G55" s="7">
        <v>0.57352941176470584</v>
      </c>
      <c r="H55" s="7">
        <v>1.136773276E-3</v>
      </c>
      <c r="I55" s="7">
        <v>0.80036267721727661</v>
      </c>
      <c r="J55" s="7">
        <v>3.6342027969807456E-2</v>
      </c>
      <c r="K55" s="8">
        <v>1.4499999999999999E-2</v>
      </c>
      <c r="L55" s="8">
        <v>2.5899999999999999E-2</v>
      </c>
      <c r="M55" s="8">
        <v>-6.1999999999999998E-3</v>
      </c>
      <c r="N55" s="7">
        <v>1.14E-2</v>
      </c>
      <c r="O55" s="7">
        <v>5.5000000000000014E-3</v>
      </c>
      <c r="P55" s="7">
        <v>-3.0999999999999995E-3</v>
      </c>
      <c r="Q55" s="7">
        <v>0</v>
      </c>
      <c r="R55" s="7">
        <v>-2.5847999999999999E-2</v>
      </c>
      <c r="S55" s="7">
        <v>1.1999999999999999E-3</v>
      </c>
    </row>
    <row r="56" spans="1:19" x14ac:dyDescent="0.3">
      <c r="A56" s="3">
        <v>195107</v>
      </c>
      <c r="B56" s="6">
        <f t="shared" si="0"/>
        <v>6.7232942949177865E-2</v>
      </c>
      <c r="C56" s="4">
        <f t="shared" si="1"/>
        <v>6.9635000000000002E-2</v>
      </c>
      <c r="D56" s="5">
        <v>6.9047767857142867E-2</v>
      </c>
      <c r="E56" s="5">
        <v>7.3791507633587786E-2</v>
      </c>
      <c r="F56" s="7">
        <v>0.11830357142857144</v>
      </c>
      <c r="G56" s="7">
        <v>0.58364905660377364</v>
      </c>
      <c r="H56" s="7">
        <v>1.4082078629999999E-3</v>
      </c>
      <c r="I56" s="7">
        <v>0.75312184906538426</v>
      </c>
      <c r="J56" s="7">
        <v>3.2599447778791223E-2</v>
      </c>
      <c r="K56" s="8">
        <v>1.5600000000000001E-2</v>
      </c>
      <c r="L56" s="8">
        <v>2.52E-2</v>
      </c>
      <c r="M56" s="8">
        <v>1.38E-2</v>
      </c>
      <c r="N56" s="7">
        <v>9.5999999999999992E-3</v>
      </c>
      <c r="O56" s="7">
        <v>5.899999999999999E-3</v>
      </c>
      <c r="P56" s="7">
        <v>6.7000000000000011E-3</v>
      </c>
      <c r="Q56" s="7">
        <v>0</v>
      </c>
      <c r="R56" s="7">
        <v>7.0934999999999998E-2</v>
      </c>
      <c r="S56" s="7">
        <v>1.2999999999999999E-3</v>
      </c>
    </row>
    <row r="57" spans="1:19" x14ac:dyDescent="0.3">
      <c r="A57" s="3">
        <v>195108</v>
      </c>
      <c r="B57" s="6">
        <f t="shared" si="0"/>
        <v>4.7700510300287803E-2</v>
      </c>
      <c r="C57" s="4">
        <f t="shared" si="1"/>
        <v>4.8919999999999998E-2</v>
      </c>
      <c r="D57" s="5">
        <v>6.586469072164948E-2</v>
      </c>
      <c r="E57" s="5">
        <v>6.8452232142857145E-2</v>
      </c>
      <c r="F57" s="7">
        <v>0.11082474226804123</v>
      </c>
      <c r="G57" s="7">
        <v>0.59431395348837213</v>
      </c>
      <c r="H57" s="7">
        <v>5.8177953099999998E-4</v>
      </c>
      <c r="I57" s="7">
        <v>0.71859389454209066</v>
      </c>
      <c r="J57" s="7">
        <v>3.0322015546074946E-2</v>
      </c>
      <c r="K57" s="8">
        <v>1.6200000000000003E-2</v>
      </c>
      <c r="L57" s="8">
        <v>2.46E-2</v>
      </c>
      <c r="M57" s="8">
        <v>9.9000000000000008E-3</v>
      </c>
      <c r="N57" s="7">
        <v>8.3999999999999977E-3</v>
      </c>
      <c r="O57" s="7">
        <v>6.2000000000000041E-3</v>
      </c>
      <c r="P57" s="7">
        <v>1.4999999999999996E-3</v>
      </c>
      <c r="Q57" s="7">
        <v>0</v>
      </c>
      <c r="R57" s="7">
        <v>5.0220000000000001E-2</v>
      </c>
      <c r="S57" s="7">
        <v>1.2999999999999999E-3</v>
      </c>
    </row>
    <row r="58" spans="1:19" x14ac:dyDescent="0.3">
      <c r="A58" s="3">
        <v>195109</v>
      </c>
      <c r="B58" s="6">
        <f t="shared" si="0"/>
        <v>1.6646145591475653E-3</v>
      </c>
      <c r="C58" s="4">
        <f t="shared" si="1"/>
        <v>1.668E-3</v>
      </c>
      <c r="D58" s="5">
        <v>6.5348237317282884E-2</v>
      </c>
      <c r="E58" s="5">
        <v>6.5292096219931275E-2</v>
      </c>
      <c r="F58" s="7">
        <v>0.10791057609630265</v>
      </c>
      <c r="G58" s="7">
        <v>0.60557768924302791</v>
      </c>
      <c r="H58" s="7">
        <v>2.5476904200000006E-4</v>
      </c>
      <c r="I58" s="7">
        <v>0.71618232777695812</v>
      </c>
      <c r="J58" s="7">
        <v>2.8800314104136946E-2</v>
      </c>
      <c r="K58" s="8">
        <v>1.6299999999999999E-2</v>
      </c>
      <c r="L58" s="8">
        <v>2.53E-2</v>
      </c>
      <c r="M58" s="8">
        <v>-8.0000000000000002E-3</v>
      </c>
      <c r="N58" s="7">
        <v>9.0000000000000011E-3</v>
      </c>
      <c r="O58" s="7">
        <v>6.2000000000000006E-3</v>
      </c>
      <c r="P58" s="7">
        <v>2.3E-3</v>
      </c>
      <c r="Q58" s="7">
        <v>7.7220077220079286E-3</v>
      </c>
      <c r="R58" s="7">
        <v>2.8679999999999999E-3</v>
      </c>
      <c r="S58" s="7">
        <v>1.1999999999999999E-3</v>
      </c>
    </row>
    <row r="59" spans="1:19" x14ac:dyDescent="0.3">
      <c r="A59" s="3">
        <v>195110</v>
      </c>
      <c r="B59" s="6">
        <f t="shared" si="0"/>
        <v>-1.5009241773962137E-2</v>
      </c>
      <c r="C59" s="4">
        <f t="shared" si="1"/>
        <v>-1.4921E-2</v>
      </c>
      <c r="D59" s="5">
        <v>6.4661290322580639E-2</v>
      </c>
      <c r="E59" s="5">
        <v>6.3771711092003441E-2</v>
      </c>
      <c r="F59" s="7">
        <v>0.10839886660854403</v>
      </c>
      <c r="G59" s="7">
        <v>0.59651260521098493</v>
      </c>
      <c r="H59" s="7">
        <v>1.5110762550000002E-3</v>
      </c>
      <c r="I59" s="7">
        <v>0.74023251381741939</v>
      </c>
      <c r="J59" s="7">
        <v>2.9145082421777786E-2</v>
      </c>
      <c r="K59" s="8">
        <v>1.54E-2</v>
      </c>
      <c r="L59" s="8">
        <v>2.5399999999999999E-2</v>
      </c>
      <c r="M59" s="8">
        <v>1E-3</v>
      </c>
      <c r="N59" s="7">
        <v>9.9999999999999985E-3</v>
      </c>
      <c r="O59" s="7">
        <v>6.1000000000000013E-3</v>
      </c>
      <c r="P59" s="7">
        <v>-1.55E-2</v>
      </c>
      <c r="Q59" s="7">
        <v>3.8314176245208831E-3</v>
      </c>
      <c r="R59" s="7">
        <v>-1.3321E-2</v>
      </c>
      <c r="S59" s="7">
        <v>1.6000000000000001E-3</v>
      </c>
    </row>
    <row r="60" spans="1:19" x14ac:dyDescent="0.3">
      <c r="A60" s="3">
        <v>195111</v>
      </c>
      <c r="B60" s="6">
        <f t="shared" si="0"/>
        <v>1.0224249408116023E-2</v>
      </c>
      <c r="C60" s="4">
        <f t="shared" si="1"/>
        <v>1.0288E-2</v>
      </c>
      <c r="D60" s="5">
        <v>6.3228583916083908E-2</v>
      </c>
      <c r="E60" s="5">
        <v>6.3063208369659979E-2</v>
      </c>
      <c r="F60" s="7">
        <v>0.10766302447552448</v>
      </c>
      <c r="G60" s="7">
        <v>0.58728225613295815</v>
      </c>
      <c r="H60" s="7">
        <v>1.0239816519999998E-3</v>
      </c>
      <c r="I60" s="7">
        <v>0.74329237953075367</v>
      </c>
      <c r="J60" s="7">
        <v>3.1621791971104873E-2</v>
      </c>
      <c r="K60" s="8">
        <v>1.5600000000000001E-2</v>
      </c>
      <c r="L60" s="8">
        <v>2.64E-2</v>
      </c>
      <c r="M60" s="8">
        <v>-1.3599999999999999E-2</v>
      </c>
      <c r="N60" s="7">
        <v>1.0799999999999999E-2</v>
      </c>
      <c r="O60" s="7">
        <v>5.9999999999999984E-3</v>
      </c>
      <c r="P60" s="7">
        <v>7.4999999999999989E-3</v>
      </c>
      <c r="Q60" s="7">
        <v>7.6335877862594437E-3</v>
      </c>
      <c r="R60" s="7">
        <v>1.1388000000000001E-2</v>
      </c>
      <c r="S60" s="7">
        <v>1.1000000000000001E-3</v>
      </c>
    </row>
    <row r="61" spans="1:19" x14ac:dyDescent="0.3">
      <c r="A61" s="3">
        <v>195112</v>
      </c>
      <c r="B61" s="6">
        <f t="shared" si="0"/>
        <v>3.9765103806855294E-2</v>
      </c>
      <c r="C61" s="4">
        <f t="shared" si="1"/>
        <v>4.0614999999999998E-2</v>
      </c>
      <c r="D61" s="5">
        <v>5.9318468657972231E-2</v>
      </c>
      <c r="E61" s="5">
        <v>6.1625874125874128E-2</v>
      </c>
      <c r="F61" s="7">
        <v>0.10265039966344132</v>
      </c>
      <c r="G61" s="7">
        <v>0.57786885245901642</v>
      </c>
      <c r="H61" s="7">
        <v>4.2703636799999999E-4</v>
      </c>
      <c r="I61" s="7">
        <v>0.72131634661813315</v>
      </c>
      <c r="J61" s="7">
        <v>3.6150786684507108E-2</v>
      </c>
      <c r="K61" s="8">
        <v>1.7299999999999999E-2</v>
      </c>
      <c r="L61" s="8">
        <v>2.69E-2</v>
      </c>
      <c r="M61" s="8">
        <v>-6.1000000000000004E-3</v>
      </c>
      <c r="N61" s="7">
        <v>9.6000000000000009E-3</v>
      </c>
      <c r="O61" s="7">
        <v>6.0000000000000019E-3</v>
      </c>
      <c r="P61" s="7">
        <v>1.1900000000000001E-2</v>
      </c>
      <c r="Q61" s="7">
        <v>3.7878787878788955E-3</v>
      </c>
      <c r="R61" s="7">
        <v>4.1814999999999998E-2</v>
      </c>
      <c r="S61" s="7">
        <v>1.1999999999999999E-3</v>
      </c>
    </row>
    <row r="62" spans="1:19" x14ac:dyDescent="0.3">
      <c r="A62" s="3">
        <v>195201</v>
      </c>
      <c r="B62" s="6">
        <f t="shared" si="0"/>
        <v>1.6113118193036617E-2</v>
      </c>
      <c r="C62" s="4">
        <f t="shared" si="1"/>
        <v>1.6267999999999998E-2</v>
      </c>
      <c r="D62" s="5">
        <v>5.854722452361226E-2</v>
      </c>
      <c r="E62" s="5">
        <v>5.9458561211611277E-2</v>
      </c>
      <c r="F62" s="7">
        <v>0.10052485501242751</v>
      </c>
      <c r="G62" s="7">
        <v>0.58241540877004283</v>
      </c>
      <c r="H62" s="7">
        <v>5.3842108100000008E-4</v>
      </c>
      <c r="I62" s="7">
        <v>0.71742583767409207</v>
      </c>
      <c r="J62" s="7">
        <v>3.5150697197390474E-2</v>
      </c>
      <c r="K62" s="8">
        <v>1.5700000000000002E-2</v>
      </c>
      <c r="L62" s="8">
        <v>2.6800000000000001E-2</v>
      </c>
      <c r="M62" s="8">
        <v>2.8E-3</v>
      </c>
      <c r="N62" s="7">
        <v>1.1099999999999999E-2</v>
      </c>
      <c r="O62" s="7">
        <v>6.1000000000000013E-3</v>
      </c>
      <c r="P62" s="7">
        <v>1.7100000000000001E-2</v>
      </c>
      <c r="Q62" s="7">
        <v>0</v>
      </c>
      <c r="R62" s="7">
        <v>1.7767999999999999E-2</v>
      </c>
      <c r="S62" s="7">
        <v>1.5E-3</v>
      </c>
    </row>
    <row r="63" spans="1:19" x14ac:dyDescent="0.3">
      <c r="A63" s="3">
        <v>195202</v>
      </c>
      <c r="B63" s="6">
        <f t="shared" si="0"/>
        <v>-2.6764298600835915E-2</v>
      </c>
      <c r="C63" s="4">
        <f t="shared" si="1"/>
        <v>-2.6440999999999999E-2</v>
      </c>
      <c r="D63" s="5">
        <v>6.0905846947549441E-2</v>
      </c>
      <c r="E63" s="5">
        <v>5.8685584092792051E-2</v>
      </c>
      <c r="F63" s="7">
        <v>0.10375451418744626</v>
      </c>
      <c r="G63" s="7">
        <v>0.58701876660050634</v>
      </c>
      <c r="H63" s="7">
        <v>9.3160098400000006E-4</v>
      </c>
      <c r="I63" s="7">
        <v>0.74669332513072906</v>
      </c>
      <c r="J63" s="7">
        <v>3.4871699615236111E-2</v>
      </c>
      <c r="K63" s="8">
        <v>1.54E-2</v>
      </c>
      <c r="L63" s="8">
        <v>2.69E-2</v>
      </c>
      <c r="M63" s="8">
        <v>1.4E-3</v>
      </c>
      <c r="N63" s="7">
        <v>1.15E-2</v>
      </c>
      <c r="O63" s="7">
        <v>5.9999999999999949E-3</v>
      </c>
      <c r="P63" s="7">
        <v>-9.9000000000000008E-3</v>
      </c>
      <c r="Q63" s="7">
        <v>-7.547169811320753E-3</v>
      </c>
      <c r="R63" s="7">
        <v>-2.5241E-2</v>
      </c>
      <c r="S63" s="7">
        <v>1.1999999999999999E-3</v>
      </c>
    </row>
    <row r="64" spans="1:19" x14ac:dyDescent="0.3">
      <c r="A64" s="3">
        <v>195203</v>
      </c>
      <c r="B64" s="6">
        <f t="shared" si="0"/>
        <v>5.0358635374458602E-2</v>
      </c>
      <c r="C64" s="4">
        <f t="shared" si="1"/>
        <v>5.1705000000000001E-2</v>
      </c>
      <c r="D64" s="5">
        <v>5.8268362741075087E-2</v>
      </c>
      <c r="E64" s="5">
        <v>6.1049011177987958E-2</v>
      </c>
      <c r="F64" s="7">
        <v>9.8481739844070576E-2</v>
      </c>
      <c r="G64" s="7">
        <v>0.59166666666666667</v>
      </c>
      <c r="H64" s="7">
        <v>6.3181516899999996E-4</v>
      </c>
      <c r="I64" s="7">
        <v>0.75187411860758557</v>
      </c>
      <c r="J64" s="7">
        <v>3.2094143138500494E-2</v>
      </c>
      <c r="K64" s="8">
        <v>1.5900000000000001E-2</v>
      </c>
      <c r="L64" s="8">
        <v>2.63E-2</v>
      </c>
      <c r="M64" s="8">
        <v>1.11E-2</v>
      </c>
      <c r="N64" s="7">
        <v>1.04E-2</v>
      </c>
      <c r="O64" s="7">
        <v>5.4999999999999979E-3</v>
      </c>
      <c r="P64" s="7">
        <v>-3.5000000000000005E-3</v>
      </c>
      <c r="Q64" s="7">
        <v>0</v>
      </c>
      <c r="R64" s="7">
        <v>5.2804999999999998E-2</v>
      </c>
      <c r="S64" s="7">
        <v>1.1000000000000001E-3</v>
      </c>
    </row>
    <row r="65" spans="1:19" x14ac:dyDescent="0.3">
      <c r="A65" s="3">
        <v>195204</v>
      </c>
      <c r="B65" s="6">
        <f t="shared" si="0"/>
        <v>-4.3504666443529627E-2</v>
      </c>
      <c r="C65" s="4">
        <f t="shared" si="1"/>
        <v>-4.2623000000000001E-2</v>
      </c>
      <c r="D65" s="5">
        <v>6.1320754716981125E-2</v>
      </c>
      <c r="E65" s="5">
        <v>5.8678703323758713E-2</v>
      </c>
      <c r="F65" s="7">
        <v>0.1020583190394511</v>
      </c>
      <c r="G65" s="7">
        <v>0.60084033613445376</v>
      </c>
      <c r="H65" s="7">
        <v>8.0783527899999988E-4</v>
      </c>
      <c r="I65" s="7">
        <v>0.78639909948375575</v>
      </c>
      <c r="J65" s="7">
        <v>3.323144212889792E-2</v>
      </c>
      <c r="K65" s="8">
        <v>1.5700000000000002E-2</v>
      </c>
      <c r="L65" s="8">
        <v>2.5399999999999999E-2</v>
      </c>
      <c r="M65" s="8">
        <v>1.7100000000000001E-2</v>
      </c>
      <c r="N65" s="7">
        <v>9.6999999999999968E-3</v>
      </c>
      <c r="O65" s="7">
        <v>5.7000000000000002E-3</v>
      </c>
      <c r="P65" s="7">
        <v>-1.7500000000000002E-2</v>
      </c>
      <c r="Q65" s="7">
        <v>3.8022813688212143E-3</v>
      </c>
      <c r="R65" s="7">
        <v>-4.1423000000000001E-2</v>
      </c>
      <c r="S65" s="7">
        <v>1.1999999999999999E-3</v>
      </c>
    </row>
    <row r="66" spans="1:19" x14ac:dyDescent="0.3">
      <c r="A66" s="3">
        <v>195205</v>
      </c>
      <c r="B66" s="6">
        <f t="shared" si="0"/>
        <v>3.1843508061480202E-2</v>
      </c>
      <c r="C66" s="4">
        <f t="shared" si="1"/>
        <v>3.2397999999999996E-2</v>
      </c>
      <c r="D66" s="5">
        <v>6.0352053646269908E-2</v>
      </c>
      <c r="E66" s="5">
        <v>6.1749571183533442E-2</v>
      </c>
      <c r="F66" s="7">
        <v>9.8910310142497904E-2</v>
      </c>
      <c r="G66" s="7">
        <v>0.61016949152542377</v>
      </c>
      <c r="H66" s="7">
        <v>5.2645261100000011E-4</v>
      </c>
      <c r="I66" s="7">
        <v>0.77051798889480483</v>
      </c>
      <c r="J66" s="7">
        <v>3.2149122359546395E-2</v>
      </c>
      <c r="K66" s="8">
        <v>1.67E-2</v>
      </c>
      <c r="L66" s="8">
        <v>2.5700000000000001E-2</v>
      </c>
      <c r="M66" s="8">
        <v>-3.3E-3</v>
      </c>
      <c r="N66" s="7">
        <v>9.0000000000000011E-3</v>
      </c>
      <c r="O66" s="7">
        <v>5.5999999999999973E-3</v>
      </c>
      <c r="P66" s="7">
        <v>6.3999999999999994E-3</v>
      </c>
      <c r="Q66" s="7">
        <v>0</v>
      </c>
      <c r="R66" s="7">
        <v>3.3697999999999999E-2</v>
      </c>
      <c r="S66" s="7">
        <v>1.2999999999999999E-3</v>
      </c>
    </row>
    <row r="67" spans="1:19" x14ac:dyDescent="0.3">
      <c r="A67" s="3">
        <v>195206</v>
      </c>
      <c r="B67" s="6">
        <f t="shared" ref="B67:B130" si="2">LN(R67+1) - LN(S67+1)</f>
        <v>4.5224391581328204E-2</v>
      </c>
      <c r="C67" s="4">
        <f t="shared" ref="C67:C130" si="3">R67 - S67</f>
        <v>4.6331999999999998E-2</v>
      </c>
      <c r="D67" s="5">
        <v>5.8092948717948713E-2</v>
      </c>
      <c r="E67" s="5">
        <v>6.0771165129924559E-2</v>
      </c>
      <c r="F67" s="7">
        <v>9.3749999999999986E-2</v>
      </c>
      <c r="G67" s="7">
        <v>0.61965811965811968</v>
      </c>
      <c r="H67" s="7">
        <v>3.2527064899999996E-4</v>
      </c>
      <c r="I67" s="7">
        <v>0.73871508787282136</v>
      </c>
      <c r="J67" s="7">
        <v>2.7731269993829022E-2</v>
      </c>
      <c r="K67" s="8">
        <v>1.7000000000000001E-2</v>
      </c>
      <c r="L67" s="8">
        <v>2.5899999999999999E-2</v>
      </c>
      <c r="M67" s="8">
        <v>2.9999999999999997E-4</v>
      </c>
      <c r="N67" s="7">
        <v>8.8999999999999982E-3</v>
      </c>
      <c r="O67" s="7">
        <v>5.6000000000000043E-3</v>
      </c>
      <c r="P67" s="7">
        <v>1.3000000000000002E-3</v>
      </c>
      <c r="Q67" s="7">
        <v>3.7878787878788955E-3</v>
      </c>
      <c r="R67" s="7">
        <v>4.7832E-2</v>
      </c>
      <c r="S67" s="7">
        <v>1.5E-3</v>
      </c>
    </row>
    <row r="68" spans="1:19" x14ac:dyDescent="0.3">
      <c r="A68" s="3">
        <v>195207</v>
      </c>
      <c r="B68" s="6">
        <f t="shared" si="2"/>
        <v>1.7449464805105806E-2</v>
      </c>
      <c r="C68" s="4">
        <f t="shared" si="3"/>
        <v>1.7628999999999999E-2</v>
      </c>
      <c r="D68" s="5">
        <v>5.7086614173228349E-2</v>
      </c>
      <c r="E68" s="5">
        <v>5.8092948717948713E-2</v>
      </c>
      <c r="F68" s="7">
        <v>9.2388582677165362E-2</v>
      </c>
      <c r="G68" s="7">
        <v>0.61789684957833868</v>
      </c>
      <c r="H68" s="7">
        <v>3.4488178100000003E-4</v>
      </c>
      <c r="I68" s="7">
        <v>0.72471025897839458</v>
      </c>
      <c r="J68" s="7">
        <v>2.7922820575683394E-2</v>
      </c>
      <c r="K68" s="8">
        <v>1.8100000000000002E-2</v>
      </c>
      <c r="L68" s="8">
        <v>2.6100000000000002E-2</v>
      </c>
      <c r="M68" s="8">
        <v>-2E-3</v>
      </c>
      <c r="N68" s="7">
        <v>8.0000000000000002E-3</v>
      </c>
      <c r="O68" s="7">
        <v>5.5000000000000014E-3</v>
      </c>
      <c r="P68" s="7">
        <v>3.5999999999999999E-3</v>
      </c>
      <c r="Q68" s="7">
        <v>7.547169811320753E-3</v>
      </c>
      <c r="R68" s="7">
        <v>1.9129E-2</v>
      </c>
      <c r="S68" s="7">
        <v>1.5E-3</v>
      </c>
    </row>
    <row r="69" spans="1:19" x14ac:dyDescent="0.3">
      <c r="A69" s="3">
        <v>195208</v>
      </c>
      <c r="B69" s="6">
        <f t="shared" si="2"/>
        <v>-7.189034412142874E-3</v>
      </c>
      <c r="C69" s="4">
        <f t="shared" si="3"/>
        <v>-7.1739999999999998E-3</v>
      </c>
      <c r="D69" s="5">
        <v>5.7930483419896123E-2</v>
      </c>
      <c r="E69" s="5">
        <v>5.7086614173228349E-2</v>
      </c>
      <c r="F69" s="7">
        <v>9.4020375549340798E-2</v>
      </c>
      <c r="G69" s="7">
        <v>0.61614818151300488</v>
      </c>
      <c r="H69" s="7">
        <v>2.8953667400000003E-4</v>
      </c>
      <c r="I69" s="7">
        <v>0.73662012798138443</v>
      </c>
      <c r="J69" s="7">
        <v>2.8042879576055182E-2</v>
      </c>
      <c r="K69" s="8">
        <v>1.83E-2</v>
      </c>
      <c r="L69" s="8">
        <v>2.6700000000000002E-2</v>
      </c>
      <c r="M69" s="8">
        <v>-7.0000000000000001E-3</v>
      </c>
      <c r="N69" s="7">
        <v>8.4000000000000012E-3</v>
      </c>
      <c r="O69" s="7">
        <v>5.7000000000000002E-3</v>
      </c>
      <c r="P69" s="7">
        <v>1.3299999999999999E-2</v>
      </c>
      <c r="Q69" s="7">
        <v>0</v>
      </c>
      <c r="R69" s="7">
        <v>-5.6740000000000002E-3</v>
      </c>
      <c r="S69" s="7">
        <v>1.5E-3</v>
      </c>
    </row>
    <row r="70" spans="1:19" x14ac:dyDescent="0.3">
      <c r="A70" s="3">
        <v>195209</v>
      </c>
      <c r="B70" s="6">
        <f t="shared" si="2"/>
        <v>-1.9849253782538521E-2</v>
      </c>
      <c r="C70" s="4">
        <f t="shared" si="3"/>
        <v>-1.9685000000000001E-2</v>
      </c>
      <c r="D70" s="5">
        <v>5.9087204563977182E-2</v>
      </c>
      <c r="E70" s="5">
        <v>5.7930483419896123E-2</v>
      </c>
      <c r="F70" s="7">
        <v>9.6169519152404237E-2</v>
      </c>
      <c r="G70" s="7">
        <v>0.61440677966101698</v>
      </c>
      <c r="H70" s="7">
        <v>4.4117257299999997E-4</v>
      </c>
      <c r="I70" s="7">
        <v>0.74867891060936398</v>
      </c>
      <c r="J70" s="7">
        <v>3.1038052968652995E-2</v>
      </c>
      <c r="K70" s="8">
        <v>1.7100000000000001E-2</v>
      </c>
      <c r="L70" s="8">
        <v>2.7699999999999999E-2</v>
      </c>
      <c r="M70" s="8">
        <v>-1.2999999999999999E-2</v>
      </c>
      <c r="N70" s="7">
        <v>1.0599999999999998E-2</v>
      </c>
      <c r="O70" s="7">
        <v>5.7000000000000002E-3</v>
      </c>
      <c r="P70" s="7">
        <v>1.12E-2</v>
      </c>
      <c r="Q70" s="7">
        <v>0</v>
      </c>
      <c r="R70" s="7">
        <v>-1.8085E-2</v>
      </c>
      <c r="S70" s="7">
        <v>1.6000000000000001E-3</v>
      </c>
    </row>
    <row r="71" spans="1:19" x14ac:dyDescent="0.3">
      <c r="A71" s="3">
        <v>195210</v>
      </c>
      <c r="B71" s="6">
        <f t="shared" si="2"/>
        <v>-1.079072102787265E-3</v>
      </c>
      <c r="C71" s="4">
        <f t="shared" si="3"/>
        <v>-1.0800000000000002E-3</v>
      </c>
      <c r="D71" s="5">
        <v>5.8591761827079931E-2</v>
      </c>
      <c r="E71" s="5">
        <v>5.8544009779951098E-2</v>
      </c>
      <c r="F71" s="7">
        <v>9.6791598694942915E-2</v>
      </c>
      <c r="G71" s="7">
        <v>0.60533933334176027</v>
      </c>
      <c r="H71" s="7">
        <v>1.0262180079999997E-3</v>
      </c>
      <c r="I71" s="7">
        <v>0.75251643576124494</v>
      </c>
      <c r="J71" s="7">
        <v>2.9927598865387966E-2</v>
      </c>
      <c r="K71" s="8">
        <v>1.7399999999999999E-2</v>
      </c>
      <c r="L71" s="8">
        <v>2.69E-2</v>
      </c>
      <c r="M71" s="8">
        <v>1.4800000000000001E-2</v>
      </c>
      <c r="N71" s="7">
        <v>9.5000000000000015E-3</v>
      </c>
      <c r="O71" s="7">
        <v>5.3000000000000026E-3</v>
      </c>
      <c r="P71" s="7">
        <v>-1.09E-2</v>
      </c>
      <c r="Q71" s="7">
        <v>0</v>
      </c>
      <c r="R71" s="7">
        <v>3.2000000000000003E-4</v>
      </c>
      <c r="S71" s="7">
        <v>1.4000000000000002E-3</v>
      </c>
    </row>
    <row r="72" spans="1:19" x14ac:dyDescent="0.3">
      <c r="A72" s="3">
        <v>195211</v>
      </c>
      <c r="B72" s="6">
        <f t="shared" si="2"/>
        <v>5.8572332201025333E-2</v>
      </c>
      <c r="C72" s="4">
        <f t="shared" si="3"/>
        <v>6.0381999999999998E-2</v>
      </c>
      <c r="D72" s="5">
        <v>5.5468823070927514E-2</v>
      </c>
      <c r="E72" s="5">
        <v>5.8047716150081564E-2</v>
      </c>
      <c r="F72" s="7">
        <v>9.3011301636788779E-2</v>
      </c>
      <c r="G72" s="7">
        <v>0.59636648552166827</v>
      </c>
      <c r="H72" s="7">
        <v>4.5908912499999992E-4</v>
      </c>
      <c r="I72" s="7">
        <v>0.71423535218218981</v>
      </c>
      <c r="J72" s="7">
        <v>2.6551360500024639E-2</v>
      </c>
      <c r="K72" s="8">
        <v>1.8500000000000003E-2</v>
      </c>
      <c r="L72" s="8">
        <v>2.7199999999999998E-2</v>
      </c>
      <c r="M72" s="8">
        <v>-1.5E-3</v>
      </c>
      <c r="N72" s="7">
        <v>8.6999999999999959E-3</v>
      </c>
      <c r="O72" s="7">
        <v>5.4999999999999979E-3</v>
      </c>
      <c r="P72" s="7">
        <v>1.23E-2</v>
      </c>
      <c r="Q72" s="7">
        <v>0</v>
      </c>
      <c r="R72" s="7">
        <v>6.1381999999999999E-2</v>
      </c>
      <c r="S72" s="7">
        <v>1E-3</v>
      </c>
    </row>
    <row r="73" spans="1:19" x14ac:dyDescent="0.3">
      <c r="A73" s="3">
        <v>195212</v>
      </c>
      <c r="B73" s="6">
        <f t="shared" si="2"/>
        <v>3.5904171026143038E-2</v>
      </c>
      <c r="C73" s="4">
        <f t="shared" si="3"/>
        <v>3.6615000000000002E-2</v>
      </c>
      <c r="D73" s="5">
        <v>5.3067369213398566E-2</v>
      </c>
      <c r="E73" s="5">
        <v>5.4949337490257204E-2</v>
      </c>
      <c r="F73" s="7">
        <v>9.0327436958976284E-2</v>
      </c>
      <c r="G73" s="7">
        <v>0.58750000000000002</v>
      </c>
      <c r="H73" s="7">
        <v>2.6771746700000003E-4</v>
      </c>
      <c r="I73" s="7">
        <v>0.69407331277834883</v>
      </c>
      <c r="J73" s="7">
        <v>2.6535607923680014E-2</v>
      </c>
      <c r="K73" s="8">
        <v>2.0899999999999998E-2</v>
      </c>
      <c r="L73" s="8">
        <v>2.7900000000000001E-2</v>
      </c>
      <c r="M73" s="8">
        <v>-8.6E-3</v>
      </c>
      <c r="N73" s="7">
        <v>7.0000000000000027E-3</v>
      </c>
      <c r="O73" s="7">
        <v>5.3999999999999986E-3</v>
      </c>
      <c r="P73" s="7">
        <v>-5.0000000000000044E-4</v>
      </c>
      <c r="Q73" s="7">
        <v>0</v>
      </c>
      <c r="R73" s="7">
        <v>3.8214999999999999E-2</v>
      </c>
      <c r="S73" s="7">
        <v>1.6000000000000001E-3</v>
      </c>
    </row>
    <row r="74" spans="1:19" x14ac:dyDescent="0.3">
      <c r="A74" s="3">
        <v>195301</v>
      </c>
      <c r="B74" s="6">
        <f t="shared" si="2"/>
        <v>-7.8250648731793548E-3</v>
      </c>
      <c r="C74" s="4">
        <f t="shared" si="3"/>
        <v>-7.8069999999999997E-3</v>
      </c>
      <c r="D74" s="5">
        <v>5.3449583017437449E-2</v>
      </c>
      <c r="E74" s="5">
        <v>5.3067369213398566E-2</v>
      </c>
      <c r="F74" s="7">
        <v>9.1357088703563308E-2</v>
      </c>
      <c r="G74" s="7">
        <v>0.58506224066390033</v>
      </c>
      <c r="H74" s="7">
        <v>4.0095887699999994E-4</v>
      </c>
      <c r="I74" s="7">
        <v>0.69917520792352561</v>
      </c>
      <c r="J74" s="7">
        <v>2.5934928549873035E-2</v>
      </c>
      <c r="K74" s="8">
        <v>1.9599999999999999E-2</v>
      </c>
      <c r="L74" s="8">
        <v>2.7900000000000001E-2</v>
      </c>
      <c r="M74" s="8">
        <v>1.1999999999999999E-3</v>
      </c>
      <c r="N74" s="7">
        <v>8.3000000000000018E-3</v>
      </c>
      <c r="O74" s="7">
        <v>4.8999999999999981E-3</v>
      </c>
      <c r="P74" s="7">
        <v>-9.1999999999999998E-3</v>
      </c>
      <c r="Q74" s="7">
        <v>-3.7453183520598232E-3</v>
      </c>
      <c r="R74" s="7">
        <v>-6.2069999999999998E-3</v>
      </c>
      <c r="S74" s="7">
        <v>1.6000000000000001E-3</v>
      </c>
    </row>
    <row r="75" spans="1:19" x14ac:dyDescent="0.3">
      <c r="A75" s="3">
        <v>195302</v>
      </c>
      <c r="B75" s="6">
        <f t="shared" si="2"/>
        <v>-8.9675904136596769E-3</v>
      </c>
      <c r="C75" s="4">
        <f t="shared" si="3"/>
        <v>-8.94E-3</v>
      </c>
      <c r="D75" s="5">
        <v>5.4440154440154438E-2</v>
      </c>
      <c r="E75" s="5">
        <v>5.3449583017437449E-2</v>
      </c>
      <c r="F75" s="7">
        <v>9.3436293436293436E-2</v>
      </c>
      <c r="G75" s="7">
        <v>0.5826446280991735</v>
      </c>
      <c r="H75" s="7">
        <v>4.9066373500000001E-4</v>
      </c>
      <c r="I75" s="7">
        <v>0.71270271221022274</v>
      </c>
      <c r="J75" s="7">
        <v>2.6516394842798711E-2</v>
      </c>
      <c r="K75" s="8">
        <v>1.9699999999999999E-2</v>
      </c>
      <c r="L75" s="8">
        <v>2.87E-2</v>
      </c>
      <c r="M75" s="8">
        <v>-8.6999999999999994E-3</v>
      </c>
      <c r="N75" s="7">
        <v>9.0000000000000011E-3</v>
      </c>
      <c r="O75" s="7">
        <v>4.5999999999999999E-3</v>
      </c>
      <c r="P75" s="7">
        <v>4.6999999999999993E-3</v>
      </c>
      <c r="Q75" s="7">
        <v>-3.7593984962406291E-3</v>
      </c>
      <c r="R75" s="7">
        <v>-7.5399999999999998E-3</v>
      </c>
      <c r="S75" s="7">
        <v>1.4000000000000002E-3</v>
      </c>
    </row>
    <row r="76" spans="1:19" x14ac:dyDescent="0.3">
      <c r="A76" s="3">
        <v>195303</v>
      </c>
      <c r="B76" s="6">
        <f t="shared" si="2"/>
        <v>-2.4338512783622097E-2</v>
      </c>
      <c r="C76" s="4">
        <f t="shared" si="3"/>
        <v>-2.4087999999999998E-2</v>
      </c>
      <c r="D76" s="5">
        <v>5.575326215895611E-2</v>
      </c>
      <c r="E76" s="5">
        <v>5.4440154440154438E-2</v>
      </c>
      <c r="F76" s="7">
        <v>9.6085409252669049E-2</v>
      </c>
      <c r="G76" s="7">
        <v>0.58024691358024683</v>
      </c>
      <c r="H76" s="7">
        <v>6.8265246599999994E-4</v>
      </c>
      <c r="I76" s="7">
        <v>0.76249687354843321</v>
      </c>
      <c r="J76" s="7">
        <v>2.4014260046270913E-2</v>
      </c>
      <c r="K76" s="8">
        <v>2.0099999999999996E-2</v>
      </c>
      <c r="L76" s="8">
        <v>2.9399999999999999E-2</v>
      </c>
      <c r="M76" s="8">
        <v>-8.8000000000000005E-3</v>
      </c>
      <c r="N76" s="7">
        <v>9.3000000000000027E-3</v>
      </c>
      <c r="O76" s="7">
        <v>4.4999999999999936E-3</v>
      </c>
      <c r="P76" s="7">
        <v>5.5000000000000005E-3</v>
      </c>
      <c r="Q76" s="7">
        <v>3.7735849056603765E-3</v>
      </c>
      <c r="R76" s="7">
        <v>-2.2287999999999999E-2</v>
      </c>
      <c r="S76" s="7">
        <v>1.8E-3</v>
      </c>
    </row>
    <row r="77" spans="1:19" x14ac:dyDescent="0.3">
      <c r="A77" s="3">
        <v>195304</v>
      </c>
      <c r="B77" s="6">
        <f t="shared" si="2"/>
        <v>-2.7232476689989803E-2</v>
      </c>
      <c r="C77" s="4">
        <f t="shared" si="3"/>
        <v>-2.6908000000000001E-2</v>
      </c>
      <c r="D77" s="5">
        <v>5.740576766856214E-2</v>
      </c>
      <c r="E77" s="5">
        <v>5.5884934756820881E-2</v>
      </c>
      <c r="F77" s="7">
        <v>9.9783509341998367E-2</v>
      </c>
      <c r="G77" s="7">
        <v>0.57530315426980427</v>
      </c>
      <c r="H77" s="7">
        <v>1.271594922E-3</v>
      </c>
      <c r="I77" s="7">
        <v>0.77670609645131938</v>
      </c>
      <c r="J77" s="7">
        <v>2.6294099595236313E-2</v>
      </c>
      <c r="K77" s="8">
        <v>2.1899999999999999E-2</v>
      </c>
      <c r="L77" s="8">
        <v>3.0300000000000001E-2</v>
      </c>
      <c r="M77" s="8">
        <v>-1.0500000000000001E-2</v>
      </c>
      <c r="N77" s="7">
        <v>8.4000000000000012E-3</v>
      </c>
      <c r="O77" s="7">
        <v>4.1999999999999954E-3</v>
      </c>
      <c r="P77" s="7">
        <v>-1.4299999999999998E-2</v>
      </c>
      <c r="Q77" s="7">
        <v>0</v>
      </c>
      <c r="R77" s="7">
        <v>-2.5308000000000001E-2</v>
      </c>
      <c r="S77" s="7">
        <v>1.6000000000000001E-3</v>
      </c>
    </row>
    <row r="78" spans="1:19" x14ac:dyDescent="0.3">
      <c r="A78" s="3">
        <v>195305</v>
      </c>
      <c r="B78" s="6">
        <f t="shared" si="2"/>
        <v>5.6751903476966346E-3</v>
      </c>
      <c r="C78" s="4">
        <f t="shared" si="3"/>
        <v>5.7009999999999995E-3</v>
      </c>
      <c r="D78" s="5">
        <v>5.7729013854930733E-2</v>
      </c>
      <c r="E78" s="5">
        <v>5.7541429731925268E-2</v>
      </c>
      <c r="F78" s="7">
        <v>0.10119519152404238</v>
      </c>
      <c r="G78" s="7">
        <v>0.57047190667370029</v>
      </c>
      <c r="H78" s="7">
        <v>5.9316660500000008E-4</v>
      </c>
      <c r="I78" s="7">
        <v>0.783752019979433</v>
      </c>
      <c r="J78" s="7">
        <v>2.7226518833889064E-2</v>
      </c>
      <c r="K78" s="8">
        <v>2.1600000000000001E-2</v>
      </c>
      <c r="L78" s="8">
        <v>3.1399999999999997E-2</v>
      </c>
      <c r="M78" s="8">
        <v>-1.4800000000000001E-2</v>
      </c>
      <c r="N78" s="7">
        <v>9.7999999999999962E-3</v>
      </c>
      <c r="O78" s="7">
        <v>4.4000000000000011E-3</v>
      </c>
      <c r="P78" s="7">
        <v>1.1800000000000001E-2</v>
      </c>
      <c r="Q78" s="7">
        <v>3.759398496240518E-3</v>
      </c>
      <c r="R78" s="7">
        <v>7.4009999999999996E-3</v>
      </c>
      <c r="S78" s="7">
        <v>1.7000000000000001E-3</v>
      </c>
    </row>
    <row r="79" spans="1:19" x14ac:dyDescent="0.3">
      <c r="A79" s="3">
        <v>195306</v>
      </c>
      <c r="B79" s="6">
        <f t="shared" si="2"/>
        <v>-1.6167119593476338E-2</v>
      </c>
      <c r="C79" s="4">
        <f t="shared" si="3"/>
        <v>-1.6066E-2</v>
      </c>
      <c r="D79" s="5">
        <v>5.8823529411764698E-2</v>
      </c>
      <c r="E79" s="5">
        <v>5.7864710676446614E-2</v>
      </c>
      <c r="F79" s="7">
        <v>0.10397680198840098</v>
      </c>
      <c r="G79" s="7">
        <v>0.56573705179282874</v>
      </c>
      <c r="H79" s="7">
        <v>1.1056921389999996E-3</v>
      </c>
      <c r="I79" s="7">
        <v>0.79549690598672929</v>
      </c>
      <c r="J79" s="7">
        <v>2.7462858700616086E-2</v>
      </c>
      <c r="K79" s="8">
        <v>2.1099999999999997E-2</v>
      </c>
      <c r="L79" s="8">
        <v>3.0099999999999998E-2</v>
      </c>
      <c r="M79" s="8">
        <v>2.23E-2</v>
      </c>
      <c r="N79" s="7">
        <v>9.0000000000000011E-3</v>
      </c>
      <c r="O79" s="7">
        <v>4.599999999999993E-3</v>
      </c>
      <c r="P79" s="7">
        <v>-1.14E-2</v>
      </c>
      <c r="Q79" s="7">
        <v>3.7453183520599342E-3</v>
      </c>
      <c r="R79" s="7">
        <v>-1.4265999999999999E-2</v>
      </c>
      <c r="S79" s="7">
        <v>1.8E-3</v>
      </c>
    </row>
    <row r="80" spans="1:19" x14ac:dyDescent="0.3">
      <c r="A80" s="3">
        <v>195307</v>
      </c>
      <c r="B80" s="6">
        <f t="shared" si="2"/>
        <v>2.4474866688261016E-2</v>
      </c>
      <c r="C80" s="4">
        <f t="shared" si="3"/>
        <v>2.4813999999999999E-2</v>
      </c>
      <c r="D80" s="5">
        <v>5.7373737373737368E-2</v>
      </c>
      <c r="E80" s="5">
        <v>5.8823529411764698E-2</v>
      </c>
      <c r="F80" s="7">
        <v>0.10195272727272728</v>
      </c>
      <c r="G80" s="7">
        <v>0.5627484316359731</v>
      </c>
      <c r="H80" s="7">
        <v>5.8101459600000004E-4</v>
      </c>
      <c r="I80" s="7">
        <v>0.7749291887573535</v>
      </c>
      <c r="J80" s="7">
        <v>2.6152807107294101E-2</v>
      </c>
      <c r="K80" s="8">
        <v>2.0400000000000001E-2</v>
      </c>
      <c r="L80" s="8">
        <v>3.0099999999999998E-2</v>
      </c>
      <c r="M80" s="8">
        <v>3.8999999999999998E-3</v>
      </c>
      <c r="N80" s="7">
        <v>9.6999999999999968E-3</v>
      </c>
      <c r="O80" s="7">
        <v>5.7999999999999996E-3</v>
      </c>
      <c r="P80" s="7">
        <v>1.38E-2</v>
      </c>
      <c r="Q80" s="7">
        <v>0</v>
      </c>
      <c r="R80" s="7">
        <v>2.6314000000000001E-2</v>
      </c>
      <c r="S80" s="7">
        <v>1.5E-3</v>
      </c>
    </row>
    <row r="81" spans="1:19" x14ac:dyDescent="0.3">
      <c r="A81" s="3">
        <v>195308</v>
      </c>
      <c r="B81" s="6">
        <f t="shared" si="2"/>
        <v>-5.3098172464529823E-2</v>
      </c>
      <c r="C81" s="4">
        <f t="shared" si="3"/>
        <v>-5.1801E-2</v>
      </c>
      <c r="D81" s="5">
        <v>6.0891938250428809E-2</v>
      </c>
      <c r="E81" s="5">
        <v>5.7373737373737368E-2</v>
      </c>
      <c r="F81" s="7">
        <v>0.10877658662092624</v>
      </c>
      <c r="G81" s="7">
        <v>0.55978901473191234</v>
      </c>
      <c r="H81" s="7">
        <v>6.8147383499999996E-4</v>
      </c>
      <c r="I81" s="7">
        <v>0.81693591608605765</v>
      </c>
      <c r="J81" s="7">
        <v>2.8089066192267829E-2</v>
      </c>
      <c r="K81" s="8">
        <v>2.0400000000000001E-2</v>
      </c>
      <c r="L81" s="8">
        <v>3.0300000000000001E-2</v>
      </c>
      <c r="M81" s="8">
        <v>-8.0000000000000004E-4</v>
      </c>
      <c r="N81" s="7">
        <v>9.8999999999999991E-3</v>
      </c>
      <c r="O81" s="7">
        <v>6.0999999999999943E-3</v>
      </c>
      <c r="P81" s="7">
        <v>-7.7000000000000002E-3</v>
      </c>
      <c r="Q81" s="7">
        <v>3.7313432835819338E-3</v>
      </c>
      <c r="R81" s="7">
        <v>-5.0101E-2</v>
      </c>
      <c r="S81" s="7">
        <v>1.7000000000000001E-3</v>
      </c>
    </row>
    <row r="82" spans="1:19" x14ac:dyDescent="0.3">
      <c r="A82" s="3">
        <v>195309</v>
      </c>
      <c r="B82" s="6">
        <f t="shared" si="2"/>
        <v>5.8589063287805654E-4</v>
      </c>
      <c r="C82" s="4">
        <f t="shared" si="3"/>
        <v>5.8700000000000007E-4</v>
      </c>
      <c r="D82" s="5">
        <v>6.0813704496788003E-2</v>
      </c>
      <c r="E82" s="5">
        <v>6.0891938250428809E-2</v>
      </c>
      <c r="F82" s="7">
        <v>0.10920770877944325</v>
      </c>
      <c r="G82" s="7">
        <v>0.55686274509803924</v>
      </c>
      <c r="H82" s="7">
        <v>1.1056425909999998E-3</v>
      </c>
      <c r="I82" s="7">
        <v>0.80821087713982731</v>
      </c>
      <c r="J82" s="7">
        <v>2.5878649356623266E-2</v>
      </c>
      <c r="K82" s="8">
        <v>1.7899999999999999E-2</v>
      </c>
      <c r="L82" s="8">
        <v>2.8400000000000002E-2</v>
      </c>
      <c r="M82" s="8">
        <v>2.9899999999999999E-2</v>
      </c>
      <c r="N82" s="7">
        <v>1.0500000000000002E-2</v>
      </c>
      <c r="O82" s="7">
        <v>5.9000000000000025E-3</v>
      </c>
      <c r="P82" s="7">
        <v>-4.5999999999999999E-3</v>
      </c>
      <c r="Q82" s="7">
        <v>0</v>
      </c>
      <c r="R82" s="7">
        <v>2.1870000000000001E-3</v>
      </c>
      <c r="S82" s="7">
        <v>1.6000000000000001E-3</v>
      </c>
    </row>
    <row r="83" spans="1:19" x14ac:dyDescent="0.3">
      <c r="A83" s="3">
        <v>195310</v>
      </c>
      <c r="B83" s="6">
        <f t="shared" si="2"/>
        <v>4.8486703045562143E-2</v>
      </c>
      <c r="C83" s="4">
        <f t="shared" si="3"/>
        <v>4.9745999999999999E-2</v>
      </c>
      <c r="D83" s="5">
        <v>5.8272208638956803E-2</v>
      </c>
      <c r="E83" s="5">
        <v>6.1241970021413267E-2</v>
      </c>
      <c r="F83" s="7">
        <v>0.10336878565607172</v>
      </c>
      <c r="G83" s="7">
        <v>0.56373119089199619</v>
      </c>
      <c r="H83" s="7">
        <v>5.72851756E-4</v>
      </c>
      <c r="I83" s="7">
        <v>0.77372103984627105</v>
      </c>
      <c r="J83" s="7">
        <v>2.4696900958079939E-2</v>
      </c>
      <c r="K83" s="8">
        <v>1.38E-2</v>
      </c>
      <c r="L83" s="8">
        <v>2.81E-2</v>
      </c>
      <c r="M83" s="8">
        <v>7.4000000000000003E-3</v>
      </c>
      <c r="N83" s="7">
        <v>1.43E-2</v>
      </c>
      <c r="O83" s="7">
        <v>6.5999999999999948E-3</v>
      </c>
      <c r="P83" s="7">
        <v>1.5300000000000001E-2</v>
      </c>
      <c r="Q83" s="7">
        <v>3.7174721189592308E-3</v>
      </c>
      <c r="R83" s="7">
        <v>5.1046000000000001E-2</v>
      </c>
      <c r="S83" s="7">
        <v>1.2999999999999999E-3</v>
      </c>
    </row>
    <row r="84" spans="1:19" x14ac:dyDescent="0.3">
      <c r="A84" s="3">
        <v>195311</v>
      </c>
      <c r="B84" s="6">
        <f t="shared" si="2"/>
        <v>2.2685374346652114E-2</v>
      </c>
      <c r="C84" s="4">
        <f t="shared" si="3"/>
        <v>2.2963000000000001E-2</v>
      </c>
      <c r="D84" s="5">
        <v>5.8158319870759284E-2</v>
      </c>
      <c r="E84" s="5">
        <v>5.8679706601466992E-2</v>
      </c>
      <c r="F84" s="7">
        <v>0.10191155088852988</v>
      </c>
      <c r="G84" s="7">
        <v>0.5706744658843671</v>
      </c>
      <c r="H84" s="7">
        <v>3.7649826299999999E-4</v>
      </c>
      <c r="I84" s="7">
        <v>0.75843195792017626</v>
      </c>
      <c r="J84" s="7">
        <v>2.5798712561103644E-2</v>
      </c>
      <c r="K84" s="8">
        <v>1.44E-2</v>
      </c>
      <c r="L84" s="8">
        <v>2.86E-2</v>
      </c>
      <c r="M84" s="8">
        <v>-4.8999999999999998E-3</v>
      </c>
      <c r="N84" s="7">
        <v>1.4200000000000001E-2</v>
      </c>
      <c r="O84" s="7">
        <v>6.3999999999999994E-3</v>
      </c>
      <c r="P84" s="7">
        <v>-2.4000000000000002E-3</v>
      </c>
      <c r="Q84" s="7">
        <v>-3.7037037037037646E-3</v>
      </c>
      <c r="R84" s="7">
        <v>2.3762999999999999E-2</v>
      </c>
      <c r="S84" s="7">
        <v>8.0000000000000004E-4</v>
      </c>
    </row>
    <row r="85" spans="1:19" x14ac:dyDescent="0.3">
      <c r="A85" s="3">
        <v>195312</v>
      </c>
      <c r="B85" s="6">
        <f t="shared" si="2"/>
        <v>4.1237875725496113E-4</v>
      </c>
      <c r="C85" s="4">
        <f t="shared" si="3"/>
        <v>4.1299999999999996E-4</v>
      </c>
      <c r="D85" s="5">
        <v>5.8444175735590492E-2</v>
      </c>
      <c r="E85" s="5">
        <v>5.8562197092084003E-2</v>
      </c>
      <c r="F85" s="7">
        <v>0.1011688835147118</v>
      </c>
      <c r="G85" s="7">
        <v>0.57768924302788849</v>
      </c>
      <c r="H85" s="7">
        <v>4.1726887199999992E-4</v>
      </c>
      <c r="I85" s="7">
        <v>0.75970096119615527</v>
      </c>
      <c r="J85" s="7">
        <v>2.4823248782877824E-2</v>
      </c>
      <c r="K85" s="8">
        <v>1.6E-2</v>
      </c>
      <c r="L85" s="8">
        <v>2.7400000000000001E-2</v>
      </c>
      <c r="M85" s="8">
        <v>2.06E-2</v>
      </c>
      <c r="N85" s="7">
        <v>1.14E-2</v>
      </c>
      <c r="O85" s="7">
        <v>6.1000000000000013E-3</v>
      </c>
      <c r="P85" s="7">
        <v>-3.4000000000000002E-3</v>
      </c>
      <c r="Q85" s="7">
        <v>0</v>
      </c>
      <c r="R85" s="7">
        <v>1.7129999999999999E-3</v>
      </c>
      <c r="S85" s="7">
        <v>1.2999999999999999E-3</v>
      </c>
    </row>
    <row r="86" spans="1:19" x14ac:dyDescent="0.3">
      <c r="A86" s="3">
        <v>195401</v>
      </c>
      <c r="B86" s="6">
        <f t="shared" si="2"/>
        <v>5.1005269693960652E-2</v>
      </c>
      <c r="C86" s="4">
        <f t="shared" si="3"/>
        <v>5.2386000000000002E-2</v>
      </c>
      <c r="D86" s="5">
        <v>5.5853911042944786E-2</v>
      </c>
      <c r="E86" s="5">
        <v>5.8713018943974203E-2</v>
      </c>
      <c r="F86" s="7">
        <v>9.6753450920245412E-2</v>
      </c>
      <c r="G86" s="7">
        <v>0.57728081543040344</v>
      </c>
      <c r="H86" s="7">
        <v>4.9822493499999986E-4</v>
      </c>
      <c r="I86" s="7">
        <v>0.72984712199459634</v>
      </c>
      <c r="J86" s="7">
        <v>2.3384267946866221E-2</v>
      </c>
      <c r="K86" s="8">
        <v>1.18E-2</v>
      </c>
      <c r="L86" s="8">
        <v>2.9100000000000001E-2</v>
      </c>
      <c r="M86" s="8">
        <v>8.8999999999999999E-3</v>
      </c>
      <c r="N86" s="7">
        <v>1.7300000000000003E-2</v>
      </c>
      <c r="O86" s="7">
        <v>6.4999999999999988E-3</v>
      </c>
      <c r="P86" s="7">
        <v>3.4999999999999996E-3</v>
      </c>
      <c r="Q86" s="7">
        <v>0</v>
      </c>
      <c r="R86" s="7">
        <v>5.3485999999999999E-2</v>
      </c>
      <c r="S86" s="7">
        <v>1.1000000000000001E-3</v>
      </c>
    </row>
    <row r="87" spans="1:19" x14ac:dyDescent="0.3">
      <c r="A87" s="3">
        <v>195402</v>
      </c>
      <c r="B87" s="6">
        <f t="shared" si="2"/>
        <v>1.2133544700232398E-2</v>
      </c>
      <c r="C87" s="4">
        <f t="shared" si="3"/>
        <v>1.2216000000000001E-2</v>
      </c>
      <c r="D87" s="5">
        <v>5.5959082217973237E-2</v>
      </c>
      <c r="E87" s="5">
        <v>5.61092791411043E-2</v>
      </c>
      <c r="F87" s="7">
        <v>9.7004588910133846E-2</v>
      </c>
      <c r="G87" s="7">
        <v>0.5768704640335558</v>
      </c>
      <c r="H87" s="7">
        <v>3.4071256099999999E-4</v>
      </c>
      <c r="I87" s="7">
        <v>0.72451958986894816</v>
      </c>
      <c r="J87" s="7">
        <v>2.2563484125155187E-2</v>
      </c>
      <c r="K87" s="8">
        <v>9.7000000000000003E-3</v>
      </c>
      <c r="L87" s="8">
        <v>2.7900000000000001E-2</v>
      </c>
      <c r="M87" s="8">
        <v>2.4E-2</v>
      </c>
      <c r="N87" s="7">
        <v>1.8200000000000001E-2</v>
      </c>
      <c r="O87" s="7">
        <v>6.5999999999999982E-3</v>
      </c>
      <c r="P87" s="7">
        <v>-4.1999999999999989E-3</v>
      </c>
      <c r="Q87" s="7">
        <v>0</v>
      </c>
      <c r="R87" s="7">
        <v>1.2916E-2</v>
      </c>
      <c r="S87" s="7">
        <v>7.000000000000001E-4</v>
      </c>
    </row>
    <row r="88" spans="1:19" x14ac:dyDescent="0.3">
      <c r="A88" s="3">
        <v>195403</v>
      </c>
      <c r="B88" s="6">
        <f t="shared" si="2"/>
        <v>2.9273552835577782E-2</v>
      </c>
      <c r="C88" s="4">
        <f t="shared" si="3"/>
        <v>2.9730000000000003E-2</v>
      </c>
      <c r="D88" s="5">
        <v>5.456570155902004E-2</v>
      </c>
      <c r="E88" s="5">
        <v>5.6214149139579353E-2</v>
      </c>
      <c r="F88" s="7">
        <v>9.4654788418708224E-2</v>
      </c>
      <c r="G88" s="7">
        <v>0.57647058823529418</v>
      </c>
      <c r="H88" s="7">
        <v>3.5654858499999998E-4</v>
      </c>
      <c r="I88" s="7">
        <v>0.80491581825969494</v>
      </c>
      <c r="J88" s="7">
        <v>2.2094365151245091E-2</v>
      </c>
      <c r="K88" s="8">
        <v>1.03E-2</v>
      </c>
      <c r="L88" s="8">
        <v>2.7799999999999998E-2</v>
      </c>
      <c r="M88" s="8">
        <v>5.7999999999999996E-3</v>
      </c>
      <c r="N88" s="7">
        <v>1.7499999999999998E-2</v>
      </c>
      <c r="O88" s="7">
        <v>6.4999999999999988E-3</v>
      </c>
      <c r="P88" s="7">
        <v>-1.8999999999999998E-3</v>
      </c>
      <c r="Q88" s="7">
        <v>0</v>
      </c>
      <c r="R88" s="7">
        <v>3.0530000000000002E-2</v>
      </c>
      <c r="S88" s="7">
        <v>8.0000000000000004E-4</v>
      </c>
    </row>
    <row r="89" spans="1:19" x14ac:dyDescent="0.3">
      <c r="A89" s="3">
        <v>195404</v>
      </c>
      <c r="B89" s="6">
        <f t="shared" si="2"/>
        <v>4.6325535376410501E-2</v>
      </c>
      <c r="C89" s="4">
        <f t="shared" si="3"/>
        <v>4.7458E-2</v>
      </c>
      <c r="D89" s="5">
        <v>5.1780962491153569E-2</v>
      </c>
      <c r="E89" s="5">
        <v>5.4318114328136595E-2</v>
      </c>
      <c r="F89" s="7">
        <v>9.10590941259731E-2</v>
      </c>
      <c r="G89" s="7">
        <v>0.56865229100037695</v>
      </c>
      <c r="H89" s="7">
        <v>7.30701935E-4</v>
      </c>
      <c r="I89" s="7">
        <v>0.76503930103654538</v>
      </c>
      <c r="J89" s="7">
        <v>2.0857085278115989E-2</v>
      </c>
      <c r="K89" s="8">
        <v>9.7000000000000003E-3</v>
      </c>
      <c r="L89" s="8">
        <v>2.7300000000000001E-2</v>
      </c>
      <c r="M89" s="8">
        <v>1.04E-2</v>
      </c>
      <c r="N89" s="7">
        <v>1.7600000000000001E-2</v>
      </c>
      <c r="O89" s="7">
        <v>6.2000000000000006E-3</v>
      </c>
      <c r="P89" s="7">
        <v>-1.38E-2</v>
      </c>
      <c r="Q89" s="7">
        <v>-3.7174721189590088E-3</v>
      </c>
      <c r="R89" s="7">
        <v>4.8357999999999998E-2</v>
      </c>
      <c r="S89" s="7">
        <v>8.9999999999999998E-4</v>
      </c>
    </row>
    <row r="90" spans="1:19" x14ac:dyDescent="0.3">
      <c r="A90" s="3">
        <v>195405</v>
      </c>
      <c r="B90" s="6">
        <f t="shared" si="2"/>
        <v>4.1387471789252811E-2</v>
      </c>
      <c r="C90" s="4">
        <f t="shared" si="3"/>
        <v>4.2277000000000002E-2</v>
      </c>
      <c r="D90" s="5">
        <v>4.9903048989379917E-2</v>
      </c>
      <c r="E90" s="5">
        <v>5.1545293701344648E-2</v>
      </c>
      <c r="F90" s="7">
        <v>8.8957519698526888E-2</v>
      </c>
      <c r="G90" s="7">
        <v>0.56097617332968763</v>
      </c>
      <c r="H90" s="7">
        <v>4.2985320500000005E-4</v>
      </c>
      <c r="I90" s="7">
        <v>0.74597697639622584</v>
      </c>
      <c r="J90" s="7">
        <v>1.8493419184224959E-2</v>
      </c>
      <c r="K90" s="8">
        <v>7.6E-3</v>
      </c>
      <c r="L90" s="8">
        <v>2.7900000000000001E-2</v>
      </c>
      <c r="M90" s="8">
        <v>-8.6999999999999994E-3</v>
      </c>
      <c r="N90" s="7">
        <v>2.0300000000000002E-2</v>
      </c>
      <c r="O90" s="7">
        <v>5.9000000000000025E-3</v>
      </c>
      <c r="P90" s="7">
        <v>4.4999999999999997E-3</v>
      </c>
      <c r="Q90" s="7">
        <v>3.7313432835819338E-3</v>
      </c>
      <c r="R90" s="7">
        <v>4.2777000000000003E-2</v>
      </c>
      <c r="S90" s="7">
        <v>5.0000000000000001E-4</v>
      </c>
    </row>
    <row r="91" spans="1:19" x14ac:dyDescent="0.3">
      <c r="A91" s="3">
        <v>195406</v>
      </c>
      <c r="B91" s="6">
        <f t="shared" si="2"/>
        <v>1.86414187908442E-3</v>
      </c>
      <c r="C91" s="4">
        <f t="shared" si="3"/>
        <v>1.8670000000000002E-3</v>
      </c>
      <c r="D91" s="5">
        <v>4.9640534063676821E-2</v>
      </c>
      <c r="E91" s="5">
        <v>4.9674546077423769E-2</v>
      </c>
      <c r="F91" s="7">
        <v>8.9695309825402261E-2</v>
      </c>
      <c r="G91" s="7">
        <v>0.55343511450381677</v>
      </c>
      <c r="H91" s="7">
        <v>9.3542851E-4</v>
      </c>
      <c r="I91" s="7">
        <v>0.73246784397205655</v>
      </c>
      <c r="J91" s="7">
        <v>1.8358243495418633E-2</v>
      </c>
      <c r="K91" s="8">
        <v>6.4000000000000003E-3</v>
      </c>
      <c r="L91" s="8">
        <v>2.7199999999999998E-2</v>
      </c>
      <c r="M91" s="8">
        <v>1.6299999999999999E-2</v>
      </c>
      <c r="N91" s="7">
        <v>2.0799999999999999E-2</v>
      </c>
      <c r="O91" s="7">
        <v>5.9000000000000025E-3</v>
      </c>
      <c r="P91" s="7">
        <v>-9.9999999999999985E-3</v>
      </c>
      <c r="Q91" s="7">
        <v>0</v>
      </c>
      <c r="R91" s="7">
        <v>2.467E-3</v>
      </c>
      <c r="S91" s="7">
        <v>5.9999999999999995E-4</v>
      </c>
    </row>
    <row r="92" spans="1:19" x14ac:dyDescent="0.3">
      <c r="A92" s="3">
        <v>195407</v>
      </c>
      <c r="B92" s="6">
        <f t="shared" si="2"/>
        <v>5.6542809879742535E-2</v>
      </c>
      <c r="C92" s="4">
        <f t="shared" si="3"/>
        <v>5.8201000000000003E-2</v>
      </c>
      <c r="D92" s="5">
        <v>4.7171955958549221E-2</v>
      </c>
      <c r="E92" s="5">
        <v>4.9868880520369731E-2</v>
      </c>
      <c r="F92" s="7">
        <v>8.4952396373057001E-2</v>
      </c>
      <c r="G92" s="7">
        <v>0.55527516553388245</v>
      </c>
      <c r="H92" s="7">
        <v>6.1330673600000019E-4</v>
      </c>
      <c r="I92" s="7">
        <v>0.70217291331340537</v>
      </c>
      <c r="J92" s="7">
        <v>1.7708257749132882E-2</v>
      </c>
      <c r="K92" s="8">
        <v>7.1999999999999998E-3</v>
      </c>
      <c r="L92" s="8">
        <v>2.6599999999999999E-2</v>
      </c>
      <c r="M92" s="8">
        <v>1.34E-2</v>
      </c>
      <c r="N92" s="7">
        <v>1.9400000000000001E-2</v>
      </c>
      <c r="O92" s="7">
        <v>6.1000000000000013E-3</v>
      </c>
      <c r="P92" s="7">
        <v>-9.4000000000000004E-3</v>
      </c>
      <c r="Q92" s="7">
        <v>0</v>
      </c>
      <c r="R92" s="7">
        <v>5.8701000000000003E-2</v>
      </c>
      <c r="S92" s="7">
        <v>5.0000000000000001E-4</v>
      </c>
    </row>
    <row r="93" spans="1:19" x14ac:dyDescent="0.3">
      <c r="A93" s="3">
        <v>195408</v>
      </c>
      <c r="B93" s="6">
        <f t="shared" si="2"/>
        <v>-2.6735026733972315E-2</v>
      </c>
      <c r="C93" s="4">
        <f t="shared" si="3"/>
        <v>-2.6394000000000001E-2</v>
      </c>
      <c r="D93" s="5">
        <v>4.9055648675829705E-2</v>
      </c>
      <c r="E93" s="5">
        <v>4.7387629533678761E-2</v>
      </c>
      <c r="F93" s="7">
        <v>8.8054642976868922E-2</v>
      </c>
      <c r="G93" s="7">
        <v>0.55710462296367647</v>
      </c>
      <c r="H93" s="7">
        <v>1.1449665549999998E-3</v>
      </c>
      <c r="I93" s="7">
        <v>0.7275163787969029</v>
      </c>
      <c r="J93" s="7">
        <v>1.7527531397013244E-2</v>
      </c>
      <c r="K93" s="8">
        <v>9.1999999999999998E-3</v>
      </c>
      <c r="L93" s="8">
        <v>2.69E-2</v>
      </c>
      <c r="M93" s="8">
        <v>-3.5999999999999999E-3</v>
      </c>
      <c r="N93" s="7">
        <v>1.77E-2</v>
      </c>
      <c r="O93" s="7">
        <v>6.2000000000000006E-3</v>
      </c>
      <c r="P93" s="7">
        <v>5.4000000000000003E-3</v>
      </c>
      <c r="Q93" s="7">
        <v>0</v>
      </c>
      <c r="R93" s="7">
        <v>-2.5894E-2</v>
      </c>
      <c r="S93" s="7">
        <v>5.0000000000000001E-4</v>
      </c>
    </row>
    <row r="94" spans="1:19" x14ac:dyDescent="0.3">
      <c r="A94" s="3">
        <v>195409</v>
      </c>
      <c r="B94" s="6">
        <f t="shared" si="2"/>
        <v>7.8373585651671893E-2</v>
      </c>
      <c r="C94" s="4">
        <f t="shared" si="3"/>
        <v>8.1600000000000006E-2</v>
      </c>
      <c r="D94" s="5">
        <v>4.5496750232126272E-2</v>
      </c>
      <c r="E94" s="5">
        <v>4.9279249078109287E-2</v>
      </c>
      <c r="F94" s="7">
        <v>8.1398947694212312E-2</v>
      </c>
      <c r="G94" s="7">
        <v>0.55893536121673004</v>
      </c>
      <c r="H94" s="7">
        <v>6.9178946400000004E-4</v>
      </c>
      <c r="I94" s="7">
        <v>0.67774510347888817</v>
      </c>
      <c r="J94" s="7">
        <v>1.6884188602312594E-2</v>
      </c>
      <c r="K94" s="8">
        <v>1.01E-2</v>
      </c>
      <c r="L94" s="8">
        <v>2.7099999999999999E-2</v>
      </c>
      <c r="M94" s="8">
        <v>-1E-3</v>
      </c>
      <c r="N94" s="7">
        <v>1.7000000000000001E-2</v>
      </c>
      <c r="O94" s="7">
        <v>5.7999999999999996E-3</v>
      </c>
      <c r="P94" s="7">
        <v>5.0000000000000001E-3</v>
      </c>
      <c r="Q94" s="7">
        <v>-3.7174721189590088E-3</v>
      </c>
      <c r="R94" s="7">
        <v>8.2500000000000004E-2</v>
      </c>
      <c r="S94" s="7">
        <v>8.9999999999999998E-4</v>
      </c>
    </row>
    <row r="95" spans="1:19" x14ac:dyDescent="0.3">
      <c r="A95" s="3">
        <v>195410</v>
      </c>
      <c r="B95" s="6">
        <f t="shared" si="2"/>
        <v>-1.8728297030952544E-2</v>
      </c>
      <c r="C95" s="4">
        <f t="shared" si="3"/>
        <v>-1.8567E-2</v>
      </c>
      <c r="D95" s="5">
        <v>4.713794191919192E-2</v>
      </c>
      <c r="E95" s="5">
        <v>4.6218817703497367E-2</v>
      </c>
      <c r="F95" s="7">
        <v>8.4490845959595967E-2</v>
      </c>
      <c r="G95" s="7">
        <v>0.55790590547209784</v>
      </c>
      <c r="H95" s="7">
        <v>4.9917436699999996E-4</v>
      </c>
      <c r="I95" s="7">
        <v>0.69375816436644522</v>
      </c>
      <c r="J95" s="7">
        <v>1.7579611194469463E-2</v>
      </c>
      <c r="K95" s="8">
        <v>9.7999999999999997E-3</v>
      </c>
      <c r="L95" s="8">
        <v>2.7099999999999999E-2</v>
      </c>
      <c r="M95" s="8">
        <v>5.9999999999999995E-4</v>
      </c>
      <c r="N95" s="7">
        <v>1.7299999999999999E-2</v>
      </c>
      <c r="O95" s="7">
        <v>5.899999999999999E-3</v>
      </c>
      <c r="P95" s="7">
        <v>3.4000000000000002E-3</v>
      </c>
      <c r="Q95" s="7">
        <v>0</v>
      </c>
      <c r="R95" s="7">
        <v>-1.7867000000000001E-2</v>
      </c>
      <c r="S95" s="7">
        <v>7.000000000000001E-4</v>
      </c>
    </row>
    <row r="96" spans="1:19" x14ac:dyDescent="0.3">
      <c r="A96" s="3">
        <v>195411</v>
      </c>
      <c r="B96" s="6">
        <f t="shared" si="2"/>
        <v>9.0861142811248075E-2</v>
      </c>
      <c r="C96" s="4">
        <f t="shared" si="3"/>
        <v>9.5173999999999995E-2</v>
      </c>
      <c r="D96" s="5">
        <v>4.4295268691588778E-2</v>
      </c>
      <c r="E96" s="5">
        <v>4.7874684343434344E-2</v>
      </c>
      <c r="F96" s="7">
        <v>7.953650700934578E-2</v>
      </c>
      <c r="G96" s="7">
        <v>0.55691745032735662</v>
      </c>
      <c r="H96" s="7">
        <v>1.2668257469999999E-3</v>
      </c>
      <c r="I96" s="7">
        <v>0.6316415440701193</v>
      </c>
      <c r="J96" s="7">
        <v>1.4153219014120507E-2</v>
      </c>
      <c r="K96" s="8">
        <v>9.300000000000001E-3</v>
      </c>
      <c r="L96" s="8">
        <v>2.7400000000000001E-2</v>
      </c>
      <c r="M96" s="8">
        <v>-2.5000000000000001E-3</v>
      </c>
      <c r="N96" s="7">
        <v>1.8099999999999998E-2</v>
      </c>
      <c r="O96" s="7">
        <v>5.6000000000000008E-3</v>
      </c>
      <c r="P96" s="7">
        <v>5.0000000000000001E-3</v>
      </c>
      <c r="Q96" s="7">
        <v>0</v>
      </c>
      <c r="R96" s="7">
        <v>9.5773999999999998E-2</v>
      </c>
      <c r="S96" s="7">
        <v>5.9999999999999995E-4</v>
      </c>
    </row>
    <row r="97" spans="1:19" x14ac:dyDescent="0.3">
      <c r="A97" s="3">
        <v>195412</v>
      </c>
      <c r="B97" s="6">
        <f t="shared" si="2"/>
        <v>5.2065977405833748E-2</v>
      </c>
      <c r="C97" s="4">
        <f t="shared" si="3"/>
        <v>5.3488000000000001E-2</v>
      </c>
      <c r="D97" s="5">
        <v>4.2801556420233471E-2</v>
      </c>
      <c r="E97" s="5">
        <v>4.497663551401869E-2</v>
      </c>
      <c r="F97" s="7">
        <v>7.6987215119510843E-2</v>
      </c>
      <c r="G97" s="7">
        <v>0.55595667870036103</v>
      </c>
      <c r="H97" s="7">
        <v>8.8228098400000001E-4</v>
      </c>
      <c r="I97" s="7">
        <v>0.60411978535572097</v>
      </c>
      <c r="J97" s="7">
        <v>2.6992812470241084E-2</v>
      </c>
      <c r="K97" s="8">
        <v>1.15E-2</v>
      </c>
      <c r="L97" s="8">
        <v>2.7199999999999998E-2</v>
      </c>
      <c r="M97" s="8">
        <v>6.4000000000000003E-3</v>
      </c>
      <c r="N97" s="7">
        <v>1.5699999999999999E-2</v>
      </c>
      <c r="O97" s="7">
        <v>5.5000000000000049E-3</v>
      </c>
      <c r="P97" s="7">
        <v>-4.7000000000000002E-3</v>
      </c>
      <c r="Q97" s="7">
        <v>-3.7313432835821558E-3</v>
      </c>
      <c r="R97" s="7">
        <v>5.4288000000000003E-2</v>
      </c>
      <c r="S97" s="7">
        <v>8.0000000000000004E-4</v>
      </c>
    </row>
    <row r="98" spans="1:19" x14ac:dyDescent="0.3">
      <c r="A98" s="3">
        <v>195501</v>
      </c>
      <c r="B98" s="6">
        <f t="shared" si="2"/>
        <v>1.7114891359737289E-2</v>
      </c>
      <c r="C98" s="4">
        <f t="shared" si="3"/>
        <v>1.7276E-2</v>
      </c>
      <c r="D98" s="5">
        <v>4.2224133224133223E-2</v>
      </c>
      <c r="E98" s="5">
        <v>4.2986937187326296E-2</v>
      </c>
      <c r="F98" s="7">
        <v>7.7349986349986355E-2</v>
      </c>
      <c r="G98" s="7">
        <v>0.54588417162843716</v>
      </c>
      <c r="H98" s="7">
        <v>2.5173979019999996E-3</v>
      </c>
      <c r="I98" s="7">
        <v>0.59755888755717546</v>
      </c>
      <c r="J98" s="7">
        <v>2.6412209141496137E-2</v>
      </c>
      <c r="K98" s="8">
        <v>1.2199999999999999E-2</v>
      </c>
      <c r="L98" s="8">
        <v>2.86E-2</v>
      </c>
      <c r="M98" s="8">
        <v>-2.41E-2</v>
      </c>
      <c r="N98" s="7">
        <v>1.6400000000000001E-2</v>
      </c>
      <c r="O98" s="7">
        <v>5.1999999999999998E-3</v>
      </c>
      <c r="P98" s="7">
        <v>1.44E-2</v>
      </c>
      <c r="Q98" s="7">
        <v>0</v>
      </c>
      <c r="R98" s="7">
        <v>1.8075999999999998E-2</v>
      </c>
      <c r="S98" s="7">
        <v>8.0000000000000004E-4</v>
      </c>
    </row>
    <row r="99" spans="1:19" x14ac:dyDescent="0.3">
      <c r="A99" s="3">
        <v>195502</v>
      </c>
      <c r="B99" s="6">
        <f t="shared" si="2"/>
        <v>1.2535745013414043E-2</v>
      </c>
      <c r="C99" s="4">
        <f t="shared" si="3"/>
        <v>1.2626E-2</v>
      </c>
      <c r="D99" s="5">
        <v>4.225598476605006E-2</v>
      </c>
      <c r="E99" s="5">
        <v>4.2405951405951409E-2</v>
      </c>
      <c r="F99" s="7">
        <v>7.8799510337323173E-2</v>
      </c>
      <c r="G99" s="7">
        <v>0.53624679373211315</v>
      </c>
      <c r="H99" s="7">
        <v>6.040311319999999E-4</v>
      </c>
      <c r="I99" s="7">
        <v>0.59314832350013358</v>
      </c>
      <c r="J99" s="7">
        <v>2.804465334951944E-2</v>
      </c>
      <c r="K99" s="8">
        <v>1.1699999999999999E-2</v>
      </c>
      <c r="L99" s="8">
        <v>2.92E-2</v>
      </c>
      <c r="M99" s="8">
        <v>-7.7999999999999996E-3</v>
      </c>
      <c r="N99" s="7">
        <v>1.7500000000000002E-2</v>
      </c>
      <c r="O99" s="7">
        <v>5.3999999999999986E-3</v>
      </c>
      <c r="P99" s="7">
        <v>1.4999999999999996E-3</v>
      </c>
      <c r="Q99" s="7">
        <v>0</v>
      </c>
      <c r="R99" s="7">
        <v>1.3526E-2</v>
      </c>
      <c r="S99" s="7">
        <v>8.9999999999999998E-4</v>
      </c>
    </row>
    <row r="100" spans="1:19" x14ac:dyDescent="0.3">
      <c r="A100" s="3">
        <v>195503</v>
      </c>
      <c r="B100" s="6">
        <f t="shared" si="2"/>
        <v>-3.2440173779301556E-3</v>
      </c>
      <c r="C100" s="4">
        <f t="shared" si="3"/>
        <v>-3.2420000000000001E-3</v>
      </c>
      <c r="D100" s="5">
        <v>4.2646254784034998E-2</v>
      </c>
      <c r="E100" s="5">
        <v>4.2437431991294891E-2</v>
      </c>
      <c r="F100" s="7">
        <v>8.0918534718425375E-2</v>
      </c>
      <c r="G100" s="7">
        <v>0.52702702702702708</v>
      </c>
      <c r="H100" s="7">
        <v>2.482548154E-3</v>
      </c>
      <c r="I100" s="7">
        <v>0.60776177690993416</v>
      </c>
      <c r="J100" s="7">
        <v>2.7968341933268071E-2</v>
      </c>
      <c r="K100" s="8">
        <v>1.2800000000000001E-2</v>
      </c>
      <c r="L100" s="8">
        <v>2.8799999999999999E-2</v>
      </c>
      <c r="M100" s="8">
        <v>8.6999999999999994E-3</v>
      </c>
      <c r="N100" s="7">
        <v>1.6E-2</v>
      </c>
      <c r="O100" s="7">
        <v>4.5999999999999965E-3</v>
      </c>
      <c r="P100" s="7">
        <v>5.0000000000000044E-4</v>
      </c>
      <c r="Q100" s="7">
        <v>0</v>
      </c>
      <c r="R100" s="7">
        <v>-2.2420000000000001E-3</v>
      </c>
      <c r="S100" s="7">
        <v>1E-3</v>
      </c>
    </row>
    <row r="101" spans="1:19" x14ac:dyDescent="0.3">
      <c r="A101" s="3">
        <v>195504</v>
      </c>
      <c r="B101" s="6">
        <f t="shared" si="2"/>
        <v>3.8070239885896452E-2</v>
      </c>
      <c r="C101" s="4">
        <f t="shared" si="3"/>
        <v>3.8843000000000003E-2</v>
      </c>
      <c r="D101" s="5">
        <v>4.1183614330874606E-2</v>
      </c>
      <c r="E101" s="5">
        <v>4.2737288135593222E-2</v>
      </c>
      <c r="F101" s="7">
        <v>8.0260010537407805E-2</v>
      </c>
      <c r="G101" s="7">
        <v>0.5131274473441495</v>
      </c>
      <c r="H101" s="7">
        <v>6.2805034200000005E-4</v>
      </c>
      <c r="I101" s="7">
        <v>0.58498766592270646</v>
      </c>
      <c r="J101" s="7">
        <v>2.6509678885879365E-2</v>
      </c>
      <c r="K101" s="8">
        <v>1.5900000000000001E-2</v>
      </c>
      <c r="L101" s="8">
        <v>2.9000000000000001E-2</v>
      </c>
      <c r="M101" s="8">
        <v>1E-4</v>
      </c>
      <c r="N101" s="7">
        <v>1.3100000000000001E-2</v>
      </c>
      <c r="O101" s="7">
        <v>4.8000000000000022E-3</v>
      </c>
      <c r="P101" s="7">
        <v>-2.0000000000000001E-4</v>
      </c>
      <c r="Q101" s="7">
        <v>0</v>
      </c>
      <c r="R101" s="7">
        <v>3.9843000000000003E-2</v>
      </c>
      <c r="S101" s="7">
        <v>1E-3</v>
      </c>
    </row>
    <row r="102" spans="1:19" x14ac:dyDescent="0.3">
      <c r="A102" s="3">
        <v>195505</v>
      </c>
      <c r="B102" s="6">
        <f t="shared" si="2"/>
        <v>5.0133756558307999E-3</v>
      </c>
      <c r="C102" s="4">
        <f t="shared" si="3"/>
        <v>5.0330000000000001E-3</v>
      </c>
      <c r="D102" s="5">
        <v>4.1326035346874179E-2</v>
      </c>
      <c r="E102" s="5">
        <v>4.1271601685985246E-2</v>
      </c>
      <c r="F102" s="7">
        <v>8.2651806911105255E-2</v>
      </c>
      <c r="G102" s="7">
        <v>0.50000159574637848</v>
      </c>
      <c r="H102" s="7">
        <v>7.45073396E-4</v>
      </c>
      <c r="I102" s="7">
        <v>0.58607541307724897</v>
      </c>
      <c r="J102" s="7">
        <v>2.5418715307258009E-2</v>
      </c>
      <c r="K102" s="8">
        <v>1.4499999999999999E-2</v>
      </c>
      <c r="L102" s="8">
        <v>2.87E-2</v>
      </c>
      <c r="M102" s="8">
        <v>7.3000000000000001E-3</v>
      </c>
      <c r="N102" s="7">
        <v>1.4200000000000001E-2</v>
      </c>
      <c r="O102" s="7">
        <v>4.6000000000000034E-3</v>
      </c>
      <c r="P102" s="7">
        <v>-9.1000000000000004E-3</v>
      </c>
      <c r="Q102" s="7">
        <v>0</v>
      </c>
      <c r="R102" s="7">
        <v>6.4330000000000003E-3</v>
      </c>
      <c r="S102" s="7">
        <v>1.4000000000000002E-3</v>
      </c>
    </row>
    <row r="103" spans="1:19" x14ac:dyDescent="0.3">
      <c r="A103" s="3">
        <v>195506</v>
      </c>
      <c r="B103" s="6">
        <f t="shared" si="2"/>
        <v>7.716452063627087E-2</v>
      </c>
      <c r="C103" s="4">
        <f t="shared" si="3"/>
        <v>8.0299999999999996E-2</v>
      </c>
      <c r="D103" s="5">
        <v>3.8264684377284912E-2</v>
      </c>
      <c r="E103" s="5">
        <v>4.1413874967027177E-2</v>
      </c>
      <c r="F103" s="7">
        <v>7.8479161589081164E-2</v>
      </c>
      <c r="G103" s="7">
        <v>0.48757763975155277</v>
      </c>
      <c r="H103" s="7">
        <v>6.457440699999999E-4</v>
      </c>
      <c r="I103" s="7">
        <v>0.55164163232752894</v>
      </c>
      <c r="J103" s="7">
        <v>2.5363932271466653E-2</v>
      </c>
      <c r="K103" s="8">
        <v>1.41E-2</v>
      </c>
      <c r="L103" s="8">
        <v>2.93E-2</v>
      </c>
      <c r="M103" s="8">
        <v>-7.6E-3</v>
      </c>
      <c r="N103" s="7">
        <v>1.52E-2</v>
      </c>
      <c r="O103" s="7">
        <v>4.5999999999999999E-3</v>
      </c>
      <c r="P103" s="7">
        <v>1.0499999999999999E-2</v>
      </c>
      <c r="Q103" s="7">
        <v>0</v>
      </c>
      <c r="R103" s="7">
        <v>8.1299999999999997E-2</v>
      </c>
      <c r="S103" s="7">
        <v>1E-3</v>
      </c>
    </row>
    <row r="104" spans="1:19" x14ac:dyDescent="0.3">
      <c r="A104" s="3">
        <v>195507</v>
      </c>
      <c r="B104" s="6">
        <f t="shared" si="2"/>
        <v>5.5046183541326628E-2</v>
      </c>
      <c r="C104" s="4">
        <f t="shared" si="3"/>
        <v>5.6646000000000002E-2</v>
      </c>
      <c r="D104" s="5">
        <v>3.6458409926470585E-2</v>
      </c>
      <c r="E104" s="5">
        <v>3.8670972459176209E-2</v>
      </c>
      <c r="F104" s="7">
        <v>7.5673943014705883E-2</v>
      </c>
      <c r="G104" s="7">
        <v>0.48178287629845779</v>
      </c>
      <c r="H104" s="7">
        <v>2.082118547E-3</v>
      </c>
      <c r="I104" s="7">
        <v>0.53450681549855106</v>
      </c>
      <c r="J104" s="7">
        <v>2.4760441615846195E-2</v>
      </c>
      <c r="K104" s="8">
        <v>1.6E-2</v>
      </c>
      <c r="L104" s="8">
        <v>0.03</v>
      </c>
      <c r="M104" s="8">
        <v>-1.0200000000000001E-2</v>
      </c>
      <c r="N104" s="7">
        <v>1.3999999999999999E-2</v>
      </c>
      <c r="O104" s="7">
        <v>4.5999999999999999E-3</v>
      </c>
      <c r="P104" s="7">
        <v>6.1000000000000004E-3</v>
      </c>
      <c r="Q104" s="7">
        <v>3.7453183520599342E-3</v>
      </c>
      <c r="R104" s="7">
        <v>5.7646000000000003E-2</v>
      </c>
      <c r="S104" s="7">
        <v>1E-3</v>
      </c>
    </row>
    <row r="105" spans="1:19" x14ac:dyDescent="0.3">
      <c r="A105" s="3">
        <v>195508</v>
      </c>
      <c r="B105" s="6">
        <f t="shared" si="2"/>
        <v>-2.2469314064404223E-3</v>
      </c>
      <c r="C105" s="4">
        <f t="shared" si="3"/>
        <v>-2.248E-3</v>
      </c>
      <c r="D105" s="5">
        <v>3.7131310792033349E-2</v>
      </c>
      <c r="E105" s="5">
        <v>3.6841222426470581E-2</v>
      </c>
      <c r="F105" s="7">
        <v>7.79682723483094E-2</v>
      </c>
      <c r="G105" s="7">
        <v>0.47623616214241371</v>
      </c>
      <c r="H105" s="7">
        <v>1.12040356E-3</v>
      </c>
      <c r="I105" s="7">
        <v>0.53184672561835189</v>
      </c>
      <c r="J105" s="7">
        <v>2.667106263285441E-2</v>
      </c>
      <c r="K105" s="8">
        <v>1.9E-2</v>
      </c>
      <c r="L105" s="8">
        <v>3.0099999999999998E-2</v>
      </c>
      <c r="M105" s="8">
        <v>4.0000000000000002E-4</v>
      </c>
      <c r="N105" s="7">
        <v>1.1099999999999999E-2</v>
      </c>
      <c r="O105" s="7">
        <v>4.5000000000000005E-3</v>
      </c>
      <c r="P105" s="7">
        <v>-4.1999999999999997E-3</v>
      </c>
      <c r="Q105" s="7">
        <v>0</v>
      </c>
      <c r="R105" s="7">
        <v>-6.4800000000000003E-4</v>
      </c>
      <c r="S105" s="7">
        <v>1.6000000000000001E-3</v>
      </c>
    </row>
    <row r="106" spans="1:19" x14ac:dyDescent="0.3">
      <c r="A106" s="3">
        <v>195509</v>
      </c>
      <c r="B106" s="6">
        <f t="shared" si="2"/>
        <v>9.6240668987822905E-3</v>
      </c>
      <c r="C106" s="4">
        <f t="shared" si="3"/>
        <v>9.6859999999999984E-3</v>
      </c>
      <c r="D106" s="5">
        <v>3.7096404854591251E-2</v>
      </c>
      <c r="E106" s="5">
        <v>3.7517369152385363E-2</v>
      </c>
      <c r="F106" s="7">
        <v>7.8772612777650561E-2</v>
      </c>
      <c r="G106" s="7">
        <v>0.47093023255813959</v>
      </c>
      <c r="H106" s="7">
        <v>5.7110808070000001E-3</v>
      </c>
      <c r="I106" s="7">
        <v>0.53362479105053362</v>
      </c>
      <c r="J106" s="7">
        <v>2.5633980800136215E-2</v>
      </c>
      <c r="K106" s="8">
        <v>2.07E-2</v>
      </c>
      <c r="L106" s="8">
        <v>2.98E-2</v>
      </c>
      <c r="M106" s="8">
        <v>7.3000000000000001E-3</v>
      </c>
      <c r="N106" s="7">
        <v>9.1000000000000004E-3</v>
      </c>
      <c r="O106" s="7">
        <v>4.5999999999999999E-3</v>
      </c>
      <c r="P106" s="7">
        <v>2.9999999999999992E-4</v>
      </c>
      <c r="Q106" s="7">
        <v>3.7313432835819338E-3</v>
      </c>
      <c r="R106" s="7">
        <v>1.1285999999999999E-2</v>
      </c>
      <c r="S106" s="7">
        <v>1.6000000000000001E-3</v>
      </c>
    </row>
    <row r="107" spans="1:19" x14ac:dyDescent="0.3">
      <c r="A107" s="3">
        <v>195510</v>
      </c>
      <c r="B107" s="6">
        <f t="shared" si="2"/>
        <v>-3.2740180081032445E-2</v>
      </c>
      <c r="C107" s="4">
        <f t="shared" si="3"/>
        <v>-3.2267999999999998E-2</v>
      </c>
      <c r="D107" s="5">
        <v>3.8419225318847422E-2</v>
      </c>
      <c r="E107" s="5">
        <v>3.7249141286924664E-2</v>
      </c>
      <c r="F107" s="7">
        <v>8.266414737836561E-2</v>
      </c>
      <c r="G107" s="7">
        <v>0.46476285714285714</v>
      </c>
      <c r="H107" s="7">
        <v>2.6798957789999993E-3</v>
      </c>
      <c r="I107" s="7">
        <v>0.54740914986699496</v>
      </c>
      <c r="J107" s="7">
        <v>2.5100692051345908E-2</v>
      </c>
      <c r="K107" s="8">
        <v>2.23E-2</v>
      </c>
      <c r="L107" s="8">
        <v>2.92E-2</v>
      </c>
      <c r="M107" s="8">
        <v>1.44E-2</v>
      </c>
      <c r="N107" s="7">
        <v>6.8999999999999999E-3</v>
      </c>
      <c r="O107" s="7">
        <v>4.9000000000000016E-3</v>
      </c>
      <c r="P107" s="7">
        <v>-6.6E-3</v>
      </c>
      <c r="Q107" s="7">
        <v>0</v>
      </c>
      <c r="R107" s="7">
        <v>-3.0467999999999999E-2</v>
      </c>
      <c r="S107" s="7">
        <v>1.8E-3</v>
      </c>
    </row>
    <row r="108" spans="1:19" x14ac:dyDescent="0.3">
      <c r="A108" s="3">
        <v>195511</v>
      </c>
      <c r="B108" s="6">
        <f t="shared" si="2"/>
        <v>8.2481733272895236E-2</v>
      </c>
      <c r="C108" s="4">
        <f t="shared" si="3"/>
        <v>8.6125000000000007E-2</v>
      </c>
      <c r="D108" s="5">
        <v>3.5889474840694352E-2</v>
      </c>
      <c r="E108" s="5">
        <v>3.857652338214454E-2</v>
      </c>
      <c r="F108" s="7">
        <v>7.8224566029444081E-2</v>
      </c>
      <c r="G108" s="7">
        <v>0.4588005617977528</v>
      </c>
      <c r="H108" s="7">
        <v>1.9291618190000002E-3</v>
      </c>
      <c r="I108" s="7">
        <v>0.51525058974465088</v>
      </c>
      <c r="J108" s="7">
        <v>2.6033702380185486E-2</v>
      </c>
      <c r="K108" s="8">
        <v>2.2400000000000003E-2</v>
      </c>
      <c r="L108" s="8">
        <v>2.9499999999999998E-2</v>
      </c>
      <c r="M108" s="8">
        <v>-4.4999999999999997E-3</v>
      </c>
      <c r="N108" s="7">
        <v>7.0999999999999952E-3</v>
      </c>
      <c r="O108" s="7">
        <v>4.7999999999999987E-3</v>
      </c>
      <c r="P108" s="7">
        <v>1.4999999999999996E-3</v>
      </c>
      <c r="Q108" s="7">
        <v>0</v>
      </c>
      <c r="R108" s="7">
        <v>8.7825E-2</v>
      </c>
      <c r="S108" s="7">
        <v>1.7000000000000001E-3</v>
      </c>
    </row>
    <row r="109" spans="1:19" x14ac:dyDescent="0.3">
      <c r="A109" s="3">
        <v>195512</v>
      </c>
      <c r="B109" s="6">
        <f t="shared" si="2"/>
        <v>-2.1074296917162239E-3</v>
      </c>
      <c r="C109" s="4">
        <f t="shared" si="3"/>
        <v>-2.1089999999999998E-3</v>
      </c>
      <c r="D109" s="5">
        <v>3.6059806508355323E-2</v>
      </c>
      <c r="E109" s="5">
        <v>3.6036036036036036E-2</v>
      </c>
      <c r="F109" s="7">
        <v>7.9595426561125782E-2</v>
      </c>
      <c r="G109" s="7">
        <v>0.45303867403314912</v>
      </c>
      <c r="H109" s="7">
        <v>4.7470324900000002E-4</v>
      </c>
      <c r="I109" s="7">
        <v>0.5098280098280098</v>
      </c>
      <c r="J109" s="7">
        <v>2.5244549543947777E-2</v>
      </c>
      <c r="K109" s="8">
        <v>2.5399999999999999E-2</v>
      </c>
      <c r="L109" s="8">
        <v>2.9499999999999998E-2</v>
      </c>
      <c r="M109" s="8">
        <v>3.7000000000000002E-3</v>
      </c>
      <c r="N109" s="7">
        <v>4.0999999999999995E-3</v>
      </c>
      <c r="O109" s="7">
        <v>4.7000000000000028E-3</v>
      </c>
      <c r="P109" s="7">
        <v>2.5999999999999999E-3</v>
      </c>
      <c r="Q109" s="7">
        <v>-3.7174721189590088E-3</v>
      </c>
      <c r="R109" s="7">
        <v>-3.0899999999999998E-4</v>
      </c>
      <c r="S109" s="7">
        <v>1.8E-3</v>
      </c>
    </row>
    <row r="110" spans="1:19" x14ac:dyDescent="0.3">
      <c r="A110" s="3">
        <v>195601</v>
      </c>
      <c r="B110" s="6">
        <f t="shared" si="2"/>
        <v>-3.7883830288696345E-2</v>
      </c>
      <c r="C110" s="4">
        <f t="shared" si="3"/>
        <v>-3.7256999999999998E-2</v>
      </c>
      <c r="D110" s="5">
        <v>3.8110451848471019E-2</v>
      </c>
      <c r="E110" s="5">
        <v>3.6719437115215484E-2</v>
      </c>
      <c r="F110" s="7">
        <v>8.314308534915564E-2</v>
      </c>
      <c r="G110" s="7">
        <v>0.4583718740822269</v>
      </c>
      <c r="H110" s="7">
        <v>1.179984062E-3</v>
      </c>
      <c r="I110" s="7">
        <v>0.52895441220206485</v>
      </c>
      <c r="J110" s="7">
        <v>2.6424476733219023E-2</v>
      </c>
      <c r="K110" s="8">
        <v>2.41E-2</v>
      </c>
      <c r="L110" s="8">
        <v>2.92E-2</v>
      </c>
      <c r="M110" s="8">
        <v>8.3000000000000001E-3</v>
      </c>
      <c r="N110" s="7">
        <v>5.1000000000000004E-3</v>
      </c>
      <c r="O110" s="7">
        <v>4.900000000000005E-3</v>
      </c>
      <c r="P110" s="7">
        <v>2.0999999999999994E-3</v>
      </c>
      <c r="Q110" s="7">
        <v>0</v>
      </c>
      <c r="R110" s="7">
        <v>-3.5056999999999998E-2</v>
      </c>
      <c r="S110" s="7">
        <v>2.2000000000000001E-3</v>
      </c>
    </row>
    <row r="111" spans="1:19" x14ac:dyDescent="0.3">
      <c r="A111" s="3">
        <v>195602</v>
      </c>
      <c r="B111" s="6">
        <f t="shared" si="2"/>
        <v>3.8664883721963174E-2</v>
      </c>
      <c r="C111" s="4">
        <f t="shared" si="3"/>
        <v>3.9497000000000004E-2</v>
      </c>
      <c r="D111" s="5">
        <v>3.7494486104984556E-2</v>
      </c>
      <c r="E111" s="5">
        <v>3.8795070743952532E-2</v>
      </c>
      <c r="F111" s="7">
        <v>8.0870533745037484E-2</v>
      </c>
      <c r="G111" s="7">
        <v>0.4636359421491435</v>
      </c>
      <c r="H111" s="7">
        <v>1.1001472029999999E-3</v>
      </c>
      <c r="I111" s="7">
        <v>0.5148351080326683</v>
      </c>
      <c r="J111" s="7">
        <v>2.4165343952536143E-2</v>
      </c>
      <c r="K111" s="8">
        <v>2.3199999999999998E-2</v>
      </c>
      <c r="L111" s="8">
        <v>2.93E-2</v>
      </c>
      <c r="M111" s="8">
        <v>-2.0000000000000001E-4</v>
      </c>
      <c r="N111" s="7">
        <v>6.1000000000000013E-3</v>
      </c>
      <c r="O111" s="7">
        <v>4.9999999999999975E-3</v>
      </c>
      <c r="P111" s="7">
        <v>2.8E-3</v>
      </c>
      <c r="Q111" s="7">
        <v>0</v>
      </c>
      <c r="R111" s="7">
        <v>4.1397000000000003E-2</v>
      </c>
      <c r="S111" s="7">
        <v>1.9E-3</v>
      </c>
    </row>
    <row r="112" spans="1:19" x14ac:dyDescent="0.3">
      <c r="A112" s="3">
        <v>195603</v>
      </c>
      <c r="B112" s="6">
        <f t="shared" si="2"/>
        <v>6.6466267431737017E-2</v>
      </c>
      <c r="C112" s="4">
        <f t="shared" si="3"/>
        <v>6.8828E-2</v>
      </c>
      <c r="D112" s="5">
        <v>3.5684818481848186E-2</v>
      </c>
      <c r="E112" s="5">
        <v>3.8156153506837223E-2</v>
      </c>
      <c r="F112" s="7">
        <v>7.6113861386138612E-2</v>
      </c>
      <c r="G112" s="7">
        <v>0.46883468834688347</v>
      </c>
      <c r="H112" s="7">
        <v>1.0088558209999999E-3</v>
      </c>
      <c r="I112" s="7">
        <v>0.53107719963266187</v>
      </c>
      <c r="J112" s="7">
        <v>2.669506808833615E-2</v>
      </c>
      <c r="K112" s="8">
        <v>2.2499999999999999E-2</v>
      </c>
      <c r="L112" s="8">
        <v>3.0300000000000001E-2</v>
      </c>
      <c r="M112" s="8">
        <v>-1.49E-2</v>
      </c>
      <c r="N112" s="7">
        <v>7.8000000000000014E-3</v>
      </c>
      <c r="O112" s="7">
        <v>5.0000000000000044E-3</v>
      </c>
      <c r="P112" s="7">
        <v>2.9999999999999992E-4</v>
      </c>
      <c r="Q112" s="7">
        <v>0</v>
      </c>
      <c r="R112" s="7">
        <v>7.0328000000000002E-2</v>
      </c>
      <c r="S112" s="7">
        <v>1.5E-3</v>
      </c>
    </row>
    <row r="113" spans="1:19" x14ac:dyDescent="0.3">
      <c r="A113" s="3">
        <v>195604</v>
      </c>
      <c r="B113" s="6">
        <f t="shared" si="2"/>
        <v>-2.5354002537797318E-3</v>
      </c>
      <c r="C113" s="4">
        <f t="shared" si="3"/>
        <v>-2.5370000000000002E-3</v>
      </c>
      <c r="D113" s="5">
        <v>3.6240801984291027E-2</v>
      </c>
      <c r="E113" s="5">
        <v>3.6166047854785485E-2</v>
      </c>
      <c r="F113" s="7">
        <v>7.5651095494005782E-2</v>
      </c>
      <c r="G113" s="7">
        <v>0.47905191256830598</v>
      </c>
      <c r="H113" s="7">
        <v>8.1489940200000003E-4</v>
      </c>
      <c r="I113" s="7">
        <v>0.52662171588002793</v>
      </c>
      <c r="J113" s="7">
        <v>2.6213748440649994E-2</v>
      </c>
      <c r="K113" s="8">
        <v>2.6000000000000002E-2</v>
      </c>
      <c r="L113" s="8">
        <v>3.1099999999999999E-2</v>
      </c>
      <c r="M113" s="8">
        <v>-1.1299999999999999E-2</v>
      </c>
      <c r="N113" s="7">
        <v>5.0999999999999969E-3</v>
      </c>
      <c r="O113" s="7">
        <v>4.3999999999999942E-3</v>
      </c>
      <c r="P113" s="7">
        <v>-2.0000000000000052E-4</v>
      </c>
      <c r="Q113" s="7">
        <v>3.7313432835819338E-3</v>
      </c>
      <c r="R113" s="7">
        <v>-6.3699999999999998E-4</v>
      </c>
      <c r="S113" s="7">
        <v>1.9E-3</v>
      </c>
    </row>
    <row r="114" spans="1:19" x14ac:dyDescent="0.3">
      <c r="A114" s="3">
        <v>195605</v>
      </c>
      <c r="B114" s="6">
        <f t="shared" si="2"/>
        <v>-6.2486950504548749E-2</v>
      </c>
      <c r="C114" s="4">
        <f t="shared" si="3"/>
        <v>-6.0714000000000004E-2</v>
      </c>
      <c r="D114" s="5">
        <v>3.9306858407079641E-2</v>
      </c>
      <c r="E114" s="5">
        <v>3.6723232740801984E-2</v>
      </c>
      <c r="F114" s="7">
        <v>8.0309734513274333E-2</v>
      </c>
      <c r="G114" s="7">
        <v>0.48944077134986225</v>
      </c>
      <c r="H114" s="7">
        <v>1.8364287110000004E-3</v>
      </c>
      <c r="I114" s="7">
        <v>0.56855977408220904</v>
      </c>
      <c r="J114" s="7">
        <v>2.9302982313753976E-2</v>
      </c>
      <c r="K114" s="8">
        <v>2.6099999999999998E-2</v>
      </c>
      <c r="L114" s="8">
        <v>2.9899999999999999E-2</v>
      </c>
      <c r="M114" s="8">
        <v>2.2499999999999999E-2</v>
      </c>
      <c r="N114" s="7">
        <v>3.8000000000000013E-3</v>
      </c>
      <c r="O114" s="7">
        <v>4.500000000000004E-3</v>
      </c>
      <c r="P114" s="7">
        <v>-1.7299999999999999E-2</v>
      </c>
      <c r="Q114" s="7">
        <v>3.7174721189592308E-3</v>
      </c>
      <c r="R114" s="7">
        <v>-5.8414000000000001E-2</v>
      </c>
      <c r="S114" s="7">
        <v>2.3E-3</v>
      </c>
    </row>
    <row r="115" spans="1:19" x14ac:dyDescent="0.3">
      <c r="A115" s="3">
        <v>195606</v>
      </c>
      <c r="B115" s="6">
        <f t="shared" si="2"/>
        <v>3.6174083950852372E-2</v>
      </c>
      <c r="C115" s="4">
        <f t="shared" si="3"/>
        <v>3.6909999999999998E-2</v>
      </c>
      <c r="D115" s="5">
        <v>3.8322333404300621E-2</v>
      </c>
      <c r="E115" s="5">
        <v>3.9823008849557522E-2</v>
      </c>
      <c r="F115" s="7">
        <v>7.6644666808601242E-2</v>
      </c>
      <c r="G115" s="7">
        <v>0.5</v>
      </c>
      <c r="H115" s="7">
        <v>1.0370448649999998E-3</v>
      </c>
      <c r="I115" s="7">
        <v>0.55156459271886038</v>
      </c>
      <c r="J115" s="7">
        <v>2.5671521780858374E-2</v>
      </c>
      <c r="K115" s="8">
        <v>2.4900000000000002E-2</v>
      </c>
      <c r="L115" s="8">
        <v>2.9899999999999999E-2</v>
      </c>
      <c r="M115" s="8">
        <v>2.7000000000000001E-3</v>
      </c>
      <c r="N115" s="7">
        <v>4.9999999999999975E-3</v>
      </c>
      <c r="O115" s="7">
        <v>4.9999999999999975E-3</v>
      </c>
      <c r="P115" s="7">
        <v>-4.5000000000000005E-3</v>
      </c>
      <c r="Q115" s="7">
        <v>7.4074074074073071E-3</v>
      </c>
      <c r="R115" s="7">
        <v>3.891E-2</v>
      </c>
      <c r="S115" s="7">
        <v>2E-3</v>
      </c>
    </row>
    <row r="116" spans="1:19" x14ac:dyDescent="0.3">
      <c r="A116" s="3">
        <v>195607</v>
      </c>
      <c r="B116" s="6">
        <f t="shared" si="2"/>
        <v>4.7950705575650003E-2</v>
      </c>
      <c r="C116" s="4">
        <f t="shared" si="3"/>
        <v>4.9227E-2</v>
      </c>
      <c r="D116" s="5">
        <v>3.6714517108726467E-2</v>
      </c>
      <c r="E116" s="5">
        <v>3.8606131573344693E-2</v>
      </c>
      <c r="F116" s="7">
        <v>7.1944320712694868E-2</v>
      </c>
      <c r="G116" s="7">
        <v>0.51031848997982177</v>
      </c>
      <c r="H116" s="7">
        <v>4.9557634300000011E-4</v>
      </c>
      <c r="I116" s="7">
        <v>0.52490295668295328</v>
      </c>
      <c r="J116" s="7">
        <v>2.4753605879929867E-2</v>
      </c>
      <c r="K116" s="8">
        <v>2.3099999999999999E-2</v>
      </c>
      <c r="L116" s="8">
        <v>3.1300000000000001E-2</v>
      </c>
      <c r="M116" s="8">
        <v>-2.0899999999999998E-2</v>
      </c>
      <c r="N116" s="7">
        <v>8.2000000000000024E-3</v>
      </c>
      <c r="O116" s="7">
        <v>5.2000000000000032E-3</v>
      </c>
      <c r="P116" s="7">
        <v>1.1599999999999999E-2</v>
      </c>
      <c r="Q116" s="7">
        <v>7.3529411764705621E-3</v>
      </c>
      <c r="R116" s="7">
        <v>5.1427E-2</v>
      </c>
      <c r="S116" s="7">
        <v>2.2000000000000001E-3</v>
      </c>
    </row>
    <row r="117" spans="1:19" x14ac:dyDescent="0.3">
      <c r="A117" s="3">
        <v>195608</v>
      </c>
      <c r="B117" s="6">
        <f t="shared" si="2"/>
        <v>-3.5036129446210415E-2</v>
      </c>
      <c r="C117" s="4">
        <f t="shared" si="3"/>
        <v>-3.4487999999999998E-2</v>
      </c>
      <c r="D117" s="5">
        <v>3.8448116186066091E-2</v>
      </c>
      <c r="E117" s="5">
        <v>3.6984612269690222E-2</v>
      </c>
      <c r="F117" s="7">
        <v>7.3809092822563677E-2</v>
      </c>
      <c r="G117" s="7">
        <v>0.52091300293440779</v>
      </c>
      <c r="H117" s="7">
        <v>1.2354053339999999E-3</v>
      </c>
      <c r="I117" s="7">
        <v>0.54139112421321012</v>
      </c>
      <c r="J117" s="7">
        <v>2.3812519848275433E-2</v>
      </c>
      <c r="K117" s="8">
        <v>2.6000000000000002E-2</v>
      </c>
      <c r="L117" s="8">
        <v>3.2500000000000001E-2</v>
      </c>
      <c r="M117" s="8">
        <v>-1.8700000000000001E-2</v>
      </c>
      <c r="N117" s="7">
        <v>6.4999999999999988E-3</v>
      </c>
      <c r="O117" s="7">
        <v>4.9999999999999975E-3</v>
      </c>
      <c r="P117" s="7">
        <v>-2.0999999999999977E-3</v>
      </c>
      <c r="Q117" s="7">
        <v>-3.6496350364962904E-3</v>
      </c>
      <c r="R117" s="7">
        <v>-3.2787999999999998E-2</v>
      </c>
      <c r="S117" s="7">
        <v>1.7000000000000001E-3</v>
      </c>
    </row>
    <row r="118" spans="1:19" x14ac:dyDescent="0.3">
      <c r="A118" s="3">
        <v>195609</v>
      </c>
      <c r="B118" s="6">
        <f t="shared" si="2"/>
        <v>-4.6818760689209274E-2</v>
      </c>
      <c r="C118" s="4">
        <f t="shared" si="3"/>
        <v>-4.5822000000000002E-2</v>
      </c>
      <c r="D118" s="5">
        <v>4.0573318632855571E-2</v>
      </c>
      <c r="E118" s="5">
        <v>3.8728688697116397E-2</v>
      </c>
      <c r="F118" s="7">
        <v>7.6295479603087094E-2</v>
      </c>
      <c r="G118" s="7">
        <v>0.53179190751445093</v>
      </c>
      <c r="H118" s="7">
        <v>7.8777944800000001E-4</v>
      </c>
      <c r="I118" s="7">
        <v>0.57190952130457662</v>
      </c>
      <c r="J118" s="7">
        <v>2.9363038679169319E-2</v>
      </c>
      <c r="K118" s="8">
        <v>2.8399999999999998E-2</v>
      </c>
      <c r="L118" s="8">
        <v>3.2399999999999998E-2</v>
      </c>
      <c r="M118" s="8">
        <v>5.0000000000000001E-3</v>
      </c>
      <c r="N118" s="7">
        <v>4.0000000000000001E-3</v>
      </c>
      <c r="O118" s="7">
        <v>5.1000000000000004E-3</v>
      </c>
      <c r="P118" s="7">
        <v>-3.8000000000000004E-3</v>
      </c>
      <c r="Q118" s="7">
        <v>3.66300366300365E-3</v>
      </c>
      <c r="R118" s="7">
        <v>-4.4021999999999999E-2</v>
      </c>
      <c r="S118" s="7">
        <v>1.8E-3</v>
      </c>
    </row>
    <row r="119" spans="1:19" x14ac:dyDescent="0.3">
      <c r="A119" s="3">
        <v>195610</v>
      </c>
      <c r="B119" s="6">
        <f t="shared" si="2"/>
        <v>4.1003104056102036E-3</v>
      </c>
      <c r="C119" s="4">
        <f t="shared" si="3"/>
        <v>4.1189999999999994E-3</v>
      </c>
      <c r="D119" s="5">
        <v>3.9637340939008336E-2</v>
      </c>
      <c r="E119" s="5">
        <v>3.9838368246968028E-2</v>
      </c>
      <c r="F119" s="7">
        <v>7.5544756472136904E-2</v>
      </c>
      <c r="G119" s="7">
        <v>0.52468685836094708</v>
      </c>
      <c r="H119" s="7">
        <v>1.6420104589999996E-3</v>
      </c>
      <c r="I119" s="7">
        <v>0.56642700844013749</v>
      </c>
      <c r="J119" s="7">
        <v>2.9458401361645972E-2</v>
      </c>
      <c r="K119" s="8">
        <v>2.8999999999999998E-2</v>
      </c>
      <c r="L119" s="8">
        <v>3.2899999999999999E-2</v>
      </c>
      <c r="M119" s="8">
        <v>-5.4000000000000003E-3</v>
      </c>
      <c r="N119" s="7">
        <v>3.9000000000000007E-3</v>
      </c>
      <c r="O119" s="7">
        <v>5.7999999999999996E-3</v>
      </c>
      <c r="P119" s="7">
        <v>-5.1000000000000004E-3</v>
      </c>
      <c r="Q119" s="7">
        <v>3.6496350364965124E-3</v>
      </c>
      <c r="R119" s="7">
        <v>6.6189999999999999E-3</v>
      </c>
      <c r="S119" s="7">
        <v>2.5000000000000001E-3</v>
      </c>
    </row>
    <row r="120" spans="1:19" x14ac:dyDescent="0.3">
      <c r="A120" s="3">
        <v>195611</v>
      </c>
      <c r="B120" s="6">
        <f t="shared" si="2"/>
        <v>-3.9208501495670385E-3</v>
      </c>
      <c r="C120" s="4">
        <f t="shared" si="3"/>
        <v>-3.921E-3</v>
      </c>
      <c r="D120" s="5">
        <v>3.9337400177462289E-2</v>
      </c>
      <c r="E120" s="5">
        <v>3.890587977182975E-2</v>
      </c>
      <c r="F120" s="7">
        <v>7.6013087843833191E-2</v>
      </c>
      <c r="G120" s="7">
        <v>0.51750825145111723</v>
      </c>
      <c r="H120" s="7">
        <v>1.7315170259999996E-3</v>
      </c>
      <c r="I120" s="7">
        <v>0.57489741528829486</v>
      </c>
      <c r="J120" s="7">
        <v>2.7089545731721076E-2</v>
      </c>
      <c r="K120" s="8">
        <v>2.9900000000000003E-2</v>
      </c>
      <c r="L120" s="8">
        <v>3.3300000000000003E-2</v>
      </c>
      <c r="M120" s="8">
        <v>-5.7000000000000002E-3</v>
      </c>
      <c r="N120" s="7">
        <v>3.4000000000000002E-3</v>
      </c>
      <c r="O120" s="7">
        <v>5.4999999999999979E-3</v>
      </c>
      <c r="P120" s="7">
        <v>-6.8999999999999999E-3</v>
      </c>
      <c r="Q120" s="7">
        <v>0</v>
      </c>
      <c r="R120" s="7">
        <v>-1.921E-3</v>
      </c>
      <c r="S120" s="7">
        <v>2E-3</v>
      </c>
    </row>
    <row r="121" spans="1:19" x14ac:dyDescent="0.3">
      <c r="A121" s="3">
        <v>195612</v>
      </c>
      <c r="B121" s="6">
        <f t="shared" si="2"/>
        <v>3.3244112944588781E-2</v>
      </c>
      <c r="C121" s="4">
        <f t="shared" si="3"/>
        <v>3.3883999999999997E-2</v>
      </c>
      <c r="D121" s="5">
        <v>3.7283051210627811E-2</v>
      </c>
      <c r="E121" s="5">
        <v>3.85980479148181E-2</v>
      </c>
      <c r="F121" s="7">
        <v>7.306620955646026E-2</v>
      </c>
      <c r="G121" s="7">
        <v>0.51026392961876832</v>
      </c>
      <c r="H121" s="7">
        <v>1.0202756230000001E-3</v>
      </c>
      <c r="I121" s="7">
        <v>0.54417682743708329</v>
      </c>
      <c r="J121" s="7">
        <v>2.6150400890641919E-2</v>
      </c>
      <c r="K121" s="8">
        <v>3.2099999999999997E-2</v>
      </c>
      <c r="L121" s="8">
        <v>3.4500000000000003E-2</v>
      </c>
      <c r="M121" s="8">
        <v>-1.7899999999999999E-2</v>
      </c>
      <c r="N121" s="7">
        <v>2.4000000000000063E-3</v>
      </c>
      <c r="O121" s="7">
        <v>6.2000000000000041E-3</v>
      </c>
      <c r="P121" s="7">
        <v>9.6999999999999986E-3</v>
      </c>
      <c r="Q121" s="7">
        <v>3.6363636363636598E-3</v>
      </c>
      <c r="R121" s="7">
        <v>3.6283999999999997E-2</v>
      </c>
      <c r="S121" s="7">
        <v>2.3999999999999998E-3</v>
      </c>
    </row>
    <row r="122" spans="1:19" x14ac:dyDescent="0.3">
      <c r="A122" s="3">
        <v>195701</v>
      </c>
      <c r="B122" s="6">
        <f t="shared" si="2"/>
        <v>-4.3766303471081285E-2</v>
      </c>
      <c r="C122" s="4">
        <f t="shared" si="3"/>
        <v>-4.2938000000000004E-2</v>
      </c>
      <c r="D122" s="5">
        <v>3.8834302325581396E-2</v>
      </c>
      <c r="E122" s="5">
        <v>3.7211699164345399E-2</v>
      </c>
      <c r="F122" s="7">
        <v>7.6177772808586772E-2</v>
      </c>
      <c r="G122" s="7">
        <v>0.50978521547434885</v>
      </c>
      <c r="H122" s="7">
        <v>9.0194245999999998E-4</v>
      </c>
      <c r="I122" s="7">
        <v>0.56724267468069123</v>
      </c>
      <c r="J122" s="7">
        <v>2.7993062156042803E-2</v>
      </c>
      <c r="K122" s="8">
        <v>3.1099999999999999E-2</v>
      </c>
      <c r="L122" s="8">
        <v>3.2800000000000003E-2</v>
      </c>
      <c r="M122" s="8">
        <v>3.4599999999999999E-2</v>
      </c>
      <c r="N122" s="7">
        <v>1.7000000000000036E-3</v>
      </c>
      <c r="O122" s="7">
        <v>7.200000000000005E-3</v>
      </c>
      <c r="P122" s="7">
        <v>-1.49E-2</v>
      </c>
      <c r="Q122" s="7">
        <v>0</v>
      </c>
      <c r="R122" s="7">
        <v>-4.0238000000000003E-2</v>
      </c>
      <c r="S122" s="7">
        <v>2.7000000000000001E-3</v>
      </c>
    </row>
    <row r="123" spans="1:19" x14ac:dyDescent="0.3">
      <c r="A123" s="3">
        <v>195702</v>
      </c>
      <c r="B123" s="6">
        <f t="shared" si="2"/>
        <v>-2.7631859111630887E-2</v>
      </c>
      <c r="C123" s="4">
        <f t="shared" si="3"/>
        <v>-2.7319E-2</v>
      </c>
      <c r="D123" s="5">
        <v>4.0067730004623214E-2</v>
      </c>
      <c r="E123" s="5">
        <v>3.8759615384615385E-2</v>
      </c>
      <c r="F123" s="7">
        <v>7.8671521035598713E-2</v>
      </c>
      <c r="G123" s="7">
        <v>0.50930412272685877</v>
      </c>
      <c r="H123" s="7">
        <v>1.056040188E-3</v>
      </c>
      <c r="I123" s="7">
        <v>0.58499418879944898</v>
      </c>
      <c r="J123" s="7">
        <v>3.0173938826421016E-2</v>
      </c>
      <c r="K123" s="8">
        <v>3.1E-2</v>
      </c>
      <c r="L123" s="8">
        <v>3.2800000000000003E-2</v>
      </c>
      <c r="M123" s="8">
        <v>2.5000000000000001E-3</v>
      </c>
      <c r="N123" s="7">
        <v>1.800000000000003E-3</v>
      </c>
      <c r="O123" s="7">
        <v>8.0000000000000002E-3</v>
      </c>
      <c r="P123" s="7">
        <v>6.7999999999999988E-3</v>
      </c>
      <c r="Q123" s="7">
        <v>3.6231884057971175E-3</v>
      </c>
      <c r="R123" s="7">
        <v>-2.4919E-2</v>
      </c>
      <c r="S123" s="7">
        <v>2.3999999999999998E-3</v>
      </c>
    </row>
    <row r="124" spans="1:19" x14ac:dyDescent="0.3">
      <c r="A124" s="3">
        <v>195703</v>
      </c>
      <c r="B124" s="6">
        <f t="shared" si="2"/>
        <v>2.125020798326574E-2</v>
      </c>
      <c r="C124" s="4">
        <f t="shared" si="3"/>
        <v>2.1527000000000001E-2</v>
      </c>
      <c r="D124" s="5">
        <v>3.9220131489458174E-2</v>
      </c>
      <c r="E124" s="5">
        <v>3.9990753582986593E-2</v>
      </c>
      <c r="F124" s="7">
        <v>7.7080027204715476E-2</v>
      </c>
      <c r="G124" s="7">
        <v>0.50882352941176467</v>
      </c>
      <c r="H124" s="7">
        <v>3.3029759600000007E-4</v>
      </c>
      <c r="I124" s="7">
        <v>0.59981887491838848</v>
      </c>
      <c r="J124" s="7">
        <v>2.6600729961264214E-2</v>
      </c>
      <c r="K124" s="8">
        <v>3.0800000000000001E-2</v>
      </c>
      <c r="L124" s="8">
        <v>3.3099999999999997E-2</v>
      </c>
      <c r="M124" s="8">
        <v>-2.3999999999999998E-3</v>
      </c>
      <c r="N124" s="7">
        <v>2.2999999999999965E-3</v>
      </c>
      <c r="O124" s="7">
        <v>7.6999999999999985E-3</v>
      </c>
      <c r="P124" s="7">
        <v>7.4000000000000003E-3</v>
      </c>
      <c r="Q124" s="7">
        <v>3.6101083032491488E-3</v>
      </c>
      <c r="R124" s="7">
        <v>2.3827000000000001E-2</v>
      </c>
      <c r="S124" s="7">
        <v>2.3E-3</v>
      </c>
    </row>
    <row r="125" spans="1:19" x14ac:dyDescent="0.3">
      <c r="A125" s="3">
        <v>195704</v>
      </c>
      <c r="B125" s="6">
        <f t="shared" si="2"/>
        <v>4.2990693560655491E-2</v>
      </c>
      <c r="C125" s="4">
        <f t="shared" si="3"/>
        <v>4.4038000000000001E-2</v>
      </c>
      <c r="D125" s="5">
        <v>3.7822474857892432E-2</v>
      </c>
      <c r="E125" s="5">
        <v>3.9220131489458174E-2</v>
      </c>
      <c r="F125" s="7">
        <v>7.4479011805859197E-2</v>
      </c>
      <c r="G125" s="7">
        <v>0.50782729175411767</v>
      </c>
      <c r="H125" s="7">
        <v>3.0246006300000002E-4</v>
      </c>
      <c r="I125" s="7">
        <v>0.5760983898373655</v>
      </c>
      <c r="J125" s="7">
        <v>2.7421671013069124E-2</v>
      </c>
      <c r="K125" s="8">
        <v>3.0699999999999998E-2</v>
      </c>
      <c r="L125" s="8">
        <v>3.4500000000000003E-2</v>
      </c>
      <c r="M125" s="8">
        <v>-2.2200000000000001E-2</v>
      </c>
      <c r="N125" s="7">
        <v>3.8000000000000048E-3</v>
      </c>
      <c r="O125" s="7">
        <v>7.7000000000000055E-3</v>
      </c>
      <c r="P125" s="7">
        <v>1.5600000000000001E-2</v>
      </c>
      <c r="Q125" s="7">
        <v>3.597122302158251E-3</v>
      </c>
      <c r="R125" s="7">
        <v>4.6538000000000003E-2</v>
      </c>
      <c r="S125" s="7">
        <v>2.5000000000000001E-3</v>
      </c>
    </row>
    <row r="126" spans="1:19" x14ac:dyDescent="0.3">
      <c r="A126" s="3">
        <v>195705</v>
      </c>
      <c r="B126" s="6">
        <f t="shared" si="2"/>
        <v>3.5406038092865091E-2</v>
      </c>
      <c r="C126" s="4">
        <f t="shared" si="3"/>
        <v>3.6133999999999999E-2</v>
      </c>
      <c r="D126" s="5">
        <v>3.6474804975753741E-2</v>
      </c>
      <c r="E126" s="5">
        <v>3.7822474857892432E-2</v>
      </c>
      <c r="F126" s="7">
        <v>7.1965633565254067E-2</v>
      </c>
      <c r="G126" s="7">
        <v>0.50683643245745358</v>
      </c>
      <c r="H126" s="7">
        <v>4.8177117499999998E-4</v>
      </c>
      <c r="I126" s="7">
        <v>0.56403857960509374</v>
      </c>
      <c r="J126" s="7">
        <v>2.8849690628784622E-2</v>
      </c>
      <c r="K126" s="8">
        <v>3.0600000000000002E-2</v>
      </c>
      <c r="L126" s="8">
        <v>3.4799999999999998E-2</v>
      </c>
      <c r="M126" s="8">
        <v>-2.3E-3</v>
      </c>
      <c r="N126" s="7">
        <v>4.1999999999999954E-3</v>
      </c>
      <c r="O126" s="7">
        <v>7.7999999999999944E-3</v>
      </c>
      <c r="P126" s="7">
        <v>-5.1999999999999998E-3</v>
      </c>
      <c r="Q126" s="7">
        <v>3.5842293906811484E-3</v>
      </c>
      <c r="R126" s="7">
        <v>3.8733999999999998E-2</v>
      </c>
      <c r="S126" s="7">
        <v>2.5999999999999999E-3</v>
      </c>
    </row>
    <row r="127" spans="1:19" x14ac:dyDescent="0.3">
      <c r="A127" s="3">
        <v>195706</v>
      </c>
      <c r="B127" s="6">
        <f t="shared" si="2"/>
        <v>-3.1023732290840753E-3</v>
      </c>
      <c r="C127" s="4">
        <f t="shared" si="3"/>
        <v>-3.1049999999999997E-3</v>
      </c>
      <c r="D127" s="5">
        <v>3.652100485539371E-2</v>
      </c>
      <c r="E127" s="5">
        <v>3.6474804975753741E-2</v>
      </c>
      <c r="F127" s="7">
        <v>7.2197593413552891E-2</v>
      </c>
      <c r="G127" s="7">
        <v>0.50584795321637432</v>
      </c>
      <c r="H127" s="7">
        <v>5.7862141099999996E-4</v>
      </c>
      <c r="I127" s="7">
        <v>0.56587653241669811</v>
      </c>
      <c r="J127" s="7">
        <v>3.0528885528872302E-2</v>
      </c>
      <c r="K127" s="8">
        <v>3.2899999999999999E-2</v>
      </c>
      <c r="L127" s="8">
        <v>3.61E-2</v>
      </c>
      <c r="M127" s="8">
        <v>-1.7999999999999999E-2</v>
      </c>
      <c r="N127" s="7">
        <v>3.2000000000000015E-3</v>
      </c>
      <c r="O127" s="7">
        <v>7.1999999999999981E-3</v>
      </c>
      <c r="P127" s="7">
        <v>-1.4200000000000001E-2</v>
      </c>
      <c r="Q127" s="7">
        <v>3.5714285714285587E-3</v>
      </c>
      <c r="R127" s="7">
        <v>-7.0500000000000001E-4</v>
      </c>
      <c r="S127" s="7">
        <v>2.3999999999999998E-3</v>
      </c>
    </row>
    <row r="128" spans="1:19" x14ac:dyDescent="0.3">
      <c r="A128" s="3">
        <v>195707</v>
      </c>
      <c r="B128" s="6">
        <f t="shared" si="2"/>
        <v>6.7042954447394795E-3</v>
      </c>
      <c r="C128" s="4">
        <f t="shared" si="3"/>
        <v>6.7470000000000004E-3</v>
      </c>
      <c r="D128" s="5">
        <v>3.6318096430807766E-2</v>
      </c>
      <c r="E128" s="5">
        <v>3.6732108929702342E-2</v>
      </c>
      <c r="F128" s="7">
        <v>7.1731788770611565E-2</v>
      </c>
      <c r="G128" s="7">
        <v>0.50630406760032243</v>
      </c>
      <c r="H128" s="7">
        <v>5.5386766200000005E-4</v>
      </c>
      <c r="I128" s="7">
        <v>0.56005663494061197</v>
      </c>
      <c r="J128" s="7">
        <v>3.2347215972436033E-2</v>
      </c>
      <c r="K128" s="8">
        <v>3.1600000000000003E-2</v>
      </c>
      <c r="L128" s="8">
        <v>3.6499999999999998E-2</v>
      </c>
      <c r="M128" s="8">
        <v>-4.1000000000000003E-3</v>
      </c>
      <c r="N128" s="7">
        <v>4.8999999999999946E-3</v>
      </c>
      <c r="O128" s="7">
        <v>7.3999999999999969E-3</v>
      </c>
      <c r="P128" s="7">
        <v>-6.899999999999999E-3</v>
      </c>
      <c r="Q128" s="7">
        <v>7.1174377224199059E-3</v>
      </c>
      <c r="R128" s="7">
        <v>9.7470000000000005E-3</v>
      </c>
      <c r="S128" s="7">
        <v>3.0000000000000001E-3</v>
      </c>
    </row>
    <row r="129" spans="1:19" x14ac:dyDescent="0.3">
      <c r="A129" s="3">
        <v>195708</v>
      </c>
      <c r="B129" s="6">
        <f t="shared" si="2"/>
        <v>-5.2735993588123621E-2</v>
      </c>
      <c r="C129" s="4">
        <f t="shared" si="3"/>
        <v>-5.1498000000000002E-2</v>
      </c>
      <c r="D129" s="5">
        <v>3.8699690402476783E-2</v>
      </c>
      <c r="E129" s="5">
        <v>3.6526821122938848E-2</v>
      </c>
      <c r="F129" s="7">
        <v>7.6367315347191503E-2</v>
      </c>
      <c r="G129" s="7">
        <v>0.50675724590467752</v>
      </c>
      <c r="H129" s="7">
        <v>2.147248218E-3</v>
      </c>
      <c r="I129" s="7">
        <v>0.58800454216991849</v>
      </c>
      <c r="J129" s="7">
        <v>3.5854179232203895E-2</v>
      </c>
      <c r="K129" s="8">
        <v>3.3700000000000001E-2</v>
      </c>
      <c r="L129" s="8">
        <v>3.6700000000000003E-2</v>
      </c>
      <c r="M129" s="8">
        <v>2.0000000000000001E-4</v>
      </c>
      <c r="N129" s="7">
        <v>3.0000000000000027E-3</v>
      </c>
      <c r="O129" s="7">
        <v>7.200000000000005E-3</v>
      </c>
      <c r="P129" s="7">
        <v>-1.1000000000000001E-3</v>
      </c>
      <c r="Q129" s="7">
        <v>0</v>
      </c>
      <c r="R129" s="7">
        <v>-4.8998E-2</v>
      </c>
      <c r="S129" s="7">
        <v>2.5000000000000001E-3</v>
      </c>
    </row>
    <row r="130" spans="1:19" x14ac:dyDescent="0.3">
      <c r="A130" s="3">
        <v>195709</v>
      </c>
      <c r="B130" s="6">
        <f t="shared" si="2"/>
        <v>-6.2218188395891313E-2</v>
      </c>
      <c r="C130" s="4">
        <f t="shared" si="3"/>
        <v>-6.0478999999999998E-2</v>
      </c>
      <c r="D130" s="5">
        <v>4.1489863272041488E-2</v>
      </c>
      <c r="E130" s="5">
        <v>3.8920831490490936E-2</v>
      </c>
      <c r="F130" s="7">
        <v>8.1801037246581804E-2</v>
      </c>
      <c r="G130" s="7">
        <v>0.50720461095100866</v>
      </c>
      <c r="H130" s="7">
        <v>1.5171098810000002E-3</v>
      </c>
      <c r="I130" s="7">
        <v>0.62415077799693186</v>
      </c>
      <c r="J130" s="7">
        <v>3.4362722298313365E-2</v>
      </c>
      <c r="K130" s="8">
        <v>3.5299999999999998E-2</v>
      </c>
      <c r="L130" s="8">
        <v>3.6400000000000002E-2</v>
      </c>
      <c r="M130" s="8">
        <v>7.6E-3</v>
      </c>
      <c r="N130" s="7">
        <v>1.1000000000000038E-3</v>
      </c>
      <c r="O130" s="7">
        <v>8.0999999999999961E-3</v>
      </c>
      <c r="P130" s="7">
        <v>1.8999999999999998E-3</v>
      </c>
      <c r="Q130" s="7">
        <v>0</v>
      </c>
      <c r="R130" s="7">
        <v>-5.7879E-2</v>
      </c>
      <c r="S130" s="7">
        <v>2.5999999999999999E-3</v>
      </c>
    </row>
    <row r="131" spans="1:19" x14ac:dyDescent="0.3">
      <c r="A131" s="3">
        <v>195710</v>
      </c>
      <c r="B131" s="6">
        <f t="shared" ref="B131:B194" si="4">LN(R131+1) - LN(S131+1)</f>
        <v>-4.2503951308571396E-2</v>
      </c>
      <c r="C131" s="4">
        <f t="shared" ref="C131:C194" si="5">R131 - S131</f>
        <v>-4.1734E-2</v>
      </c>
      <c r="D131" s="5">
        <v>4.310764734534827E-2</v>
      </c>
      <c r="E131" s="5">
        <v>4.1725601131541723E-2</v>
      </c>
      <c r="F131" s="7">
        <v>8.369873356064296E-2</v>
      </c>
      <c r="G131" s="7">
        <v>0.51503344807619</v>
      </c>
      <c r="H131" s="7">
        <v>4.9360114039999998E-3</v>
      </c>
      <c r="I131" s="7">
        <v>0.64574641755849804</v>
      </c>
      <c r="J131" s="7">
        <v>3.8409927574569097E-2</v>
      </c>
      <c r="K131" s="8">
        <v>3.5799999999999998E-2</v>
      </c>
      <c r="L131" s="8">
        <v>3.6900000000000002E-2</v>
      </c>
      <c r="M131" s="8">
        <v>-5.0000000000000001E-3</v>
      </c>
      <c r="N131" s="7">
        <v>1.1000000000000038E-3</v>
      </c>
      <c r="O131" s="7">
        <v>8.9000000000000051E-3</v>
      </c>
      <c r="P131" s="7">
        <v>7.3000000000000001E-3</v>
      </c>
      <c r="Q131" s="7">
        <v>0</v>
      </c>
      <c r="R131" s="7">
        <v>-3.8834E-2</v>
      </c>
      <c r="S131" s="7">
        <v>2.8999999999999998E-3</v>
      </c>
    </row>
    <row r="132" spans="1:19" x14ac:dyDescent="0.3">
      <c r="A132" s="3">
        <v>195711</v>
      </c>
      <c r="B132" s="6">
        <f t="shared" si="4"/>
        <v>2.0630358183351273E-2</v>
      </c>
      <c r="C132" s="4">
        <f t="shared" si="5"/>
        <v>2.0902999999999998E-2</v>
      </c>
      <c r="D132" s="5">
        <v>4.2665388302972194E-2</v>
      </c>
      <c r="E132" s="5">
        <v>4.3351193375547978E-2</v>
      </c>
      <c r="F132" s="7">
        <v>8.1575503355704695E-2</v>
      </c>
      <c r="G132" s="7">
        <v>0.52301716260250986</v>
      </c>
      <c r="H132" s="7">
        <v>3.4900785359999998E-3</v>
      </c>
      <c r="I132" s="7">
        <v>0.63307177629092848</v>
      </c>
      <c r="J132" s="7">
        <v>4.0990021326394462E-2</v>
      </c>
      <c r="K132" s="8">
        <v>3.3099999999999997E-2</v>
      </c>
      <c r="L132" s="8">
        <v>3.4000000000000002E-2</v>
      </c>
      <c r="M132" s="8">
        <v>5.33E-2</v>
      </c>
      <c r="N132" s="7">
        <v>9.0000000000000496E-4</v>
      </c>
      <c r="O132" s="7">
        <v>1.0099999999999998E-2</v>
      </c>
      <c r="P132" s="7">
        <v>-2.2200000000000001E-2</v>
      </c>
      <c r="Q132" s="7">
        <v>3.5335689045936647E-3</v>
      </c>
      <c r="R132" s="7">
        <v>2.3702999999999998E-2</v>
      </c>
      <c r="S132" s="7">
        <v>2.8000000000000004E-3</v>
      </c>
    </row>
    <row r="133" spans="1:19" x14ac:dyDescent="0.3">
      <c r="A133" s="3">
        <v>195712</v>
      </c>
      <c r="B133" s="6">
        <f t="shared" si="4"/>
        <v>-4.0537301742359422E-2</v>
      </c>
      <c r="C133" s="4">
        <f t="shared" si="5"/>
        <v>-3.9821999999999996E-2</v>
      </c>
      <c r="D133" s="5">
        <v>4.4761190297574395E-2</v>
      </c>
      <c r="E133" s="5">
        <v>4.2905081495685525E-2</v>
      </c>
      <c r="F133" s="7">
        <v>8.4271067766941737E-2</v>
      </c>
      <c r="G133" s="7">
        <v>0.53115727002967361</v>
      </c>
      <c r="H133" s="7">
        <v>1.2514024429999997E-3</v>
      </c>
      <c r="I133" s="7">
        <v>0.65367577864995752</v>
      </c>
      <c r="J133" s="7">
        <v>3.4873225680043765E-2</v>
      </c>
      <c r="K133" s="8">
        <v>3.04E-2</v>
      </c>
      <c r="L133" s="8">
        <v>3.2300000000000002E-2</v>
      </c>
      <c r="M133" s="8">
        <v>3.0700000000000002E-2</v>
      </c>
      <c r="N133" s="7">
        <v>1.9000000000000024E-3</v>
      </c>
      <c r="O133" s="7">
        <v>1.2200000000000003E-2</v>
      </c>
      <c r="P133" s="7">
        <v>3.78E-2</v>
      </c>
      <c r="Q133" s="7">
        <v>0</v>
      </c>
      <c r="R133" s="7">
        <v>-3.7421999999999997E-2</v>
      </c>
      <c r="S133" s="7">
        <v>2.3999999999999998E-3</v>
      </c>
    </row>
    <row r="134" spans="1:19" x14ac:dyDescent="0.3">
      <c r="A134" s="3">
        <v>195801</v>
      </c>
      <c r="B134" s="6">
        <f t="shared" si="4"/>
        <v>4.1716369079099945E-2</v>
      </c>
      <c r="C134" s="4">
        <f t="shared" si="5"/>
        <v>4.2718000000000006E-2</v>
      </c>
      <c r="D134" s="5">
        <v>4.2765707434052759E-2</v>
      </c>
      <c r="E134" s="5">
        <v>4.4594398599649913E-2</v>
      </c>
      <c r="F134" s="7">
        <v>7.8976738609112709E-2</v>
      </c>
      <c r="G134" s="7">
        <v>0.54149751163715754</v>
      </c>
      <c r="H134" s="7">
        <v>7.8446527300000003E-4</v>
      </c>
      <c r="I134" s="7">
        <v>0.63286076174392258</v>
      </c>
      <c r="J134" s="7">
        <v>2.9896253141087892E-2</v>
      </c>
      <c r="K134" s="8">
        <v>2.4399999999999998E-2</v>
      </c>
      <c r="L134" s="8">
        <v>3.3000000000000002E-2</v>
      </c>
      <c r="M134" s="8">
        <v>-8.3999999999999995E-3</v>
      </c>
      <c r="N134" s="7">
        <v>8.6000000000000035E-3</v>
      </c>
      <c r="O134" s="7">
        <v>1.2299999999999998E-2</v>
      </c>
      <c r="P134" s="7">
        <v>1.83E-2</v>
      </c>
      <c r="Q134" s="7">
        <v>7.0422535211267512E-3</v>
      </c>
      <c r="R134" s="7">
        <v>4.5518000000000003E-2</v>
      </c>
      <c r="S134" s="7">
        <v>2.8000000000000004E-3</v>
      </c>
    </row>
    <row r="135" spans="1:19" x14ac:dyDescent="0.3">
      <c r="A135" s="3">
        <v>195802</v>
      </c>
      <c r="B135" s="6">
        <f t="shared" si="4"/>
        <v>-1.5408758733170401E-2</v>
      </c>
      <c r="C135" s="4">
        <f t="shared" si="5"/>
        <v>-1.5309E-2</v>
      </c>
      <c r="D135" s="5">
        <v>4.3503183153770809E-2</v>
      </c>
      <c r="E135" s="5">
        <v>4.2605995203836927E-2</v>
      </c>
      <c r="F135" s="7">
        <v>7.876273261508325E-2</v>
      </c>
      <c r="G135" s="7">
        <v>0.55233207012220709</v>
      </c>
      <c r="H135" s="7">
        <v>7.3624771700000005E-4</v>
      </c>
      <c r="I135" s="7">
        <v>0.64739043462447721</v>
      </c>
      <c r="J135" s="7">
        <v>2.7751150986515694E-2</v>
      </c>
      <c r="K135" s="8">
        <v>1.5300000000000001E-2</v>
      </c>
      <c r="L135" s="8">
        <v>3.2500000000000001E-2</v>
      </c>
      <c r="M135" s="8">
        <v>0.01</v>
      </c>
      <c r="N135" s="7">
        <v>1.72E-2</v>
      </c>
      <c r="O135" s="7">
        <v>1.0700000000000001E-2</v>
      </c>
      <c r="P135" s="7">
        <v>-1.0800000000000001E-2</v>
      </c>
      <c r="Q135" s="7">
        <v>0</v>
      </c>
      <c r="R135" s="7">
        <v>-1.4109E-2</v>
      </c>
      <c r="S135" s="7">
        <v>1.1999999999999999E-3</v>
      </c>
    </row>
    <row r="136" spans="1:19" x14ac:dyDescent="0.3">
      <c r="A136" s="3">
        <v>195803</v>
      </c>
      <c r="B136" s="6">
        <f t="shared" si="4"/>
        <v>3.1617932446683608E-2</v>
      </c>
      <c r="C136" s="4">
        <f t="shared" si="5"/>
        <v>3.2152E-2</v>
      </c>
      <c r="D136" s="5">
        <v>4.2042755344418051E-2</v>
      </c>
      <c r="E136" s="5">
        <v>4.3339862879529872E-2</v>
      </c>
      <c r="F136" s="7">
        <v>7.4584323040380054E-2</v>
      </c>
      <c r="G136" s="7">
        <v>0.56369426751592355</v>
      </c>
      <c r="H136" s="7">
        <v>5.1920572900000003E-4</v>
      </c>
      <c r="I136" s="7">
        <v>0.66859163756826934</v>
      </c>
      <c r="J136" s="7">
        <v>2.8934376868075082E-2</v>
      </c>
      <c r="K136" s="8">
        <v>1.3000000000000001E-2</v>
      </c>
      <c r="L136" s="8">
        <v>3.2099999999999997E-2</v>
      </c>
      <c r="M136" s="8">
        <v>1.0200000000000001E-2</v>
      </c>
      <c r="N136" s="7">
        <v>1.9099999999999995E-2</v>
      </c>
      <c r="O136" s="7">
        <v>1.0499999999999995E-2</v>
      </c>
      <c r="P136" s="7">
        <v>-1.4800000000000001E-2</v>
      </c>
      <c r="Q136" s="7">
        <v>6.9930069930068672E-3</v>
      </c>
      <c r="R136" s="7">
        <v>3.3051999999999998E-2</v>
      </c>
      <c r="S136" s="7">
        <v>8.9999999999999998E-4</v>
      </c>
    </row>
    <row r="137" spans="1:19" x14ac:dyDescent="0.3">
      <c r="A137" s="3">
        <v>195804</v>
      </c>
      <c r="B137" s="6">
        <f t="shared" si="4"/>
        <v>3.2162063357086372E-2</v>
      </c>
      <c r="C137" s="4">
        <f t="shared" si="5"/>
        <v>3.2710999999999997E-2</v>
      </c>
      <c r="D137" s="5">
        <v>4.0438996316758749E-2</v>
      </c>
      <c r="E137" s="5">
        <v>4.1726128266033252E-2</v>
      </c>
      <c r="F137" s="7">
        <v>7.067219152854512E-2</v>
      </c>
      <c r="G137" s="7">
        <v>0.57220521172638439</v>
      </c>
      <c r="H137" s="7">
        <v>7.4676158299999992E-4</v>
      </c>
      <c r="I137" s="7">
        <v>0.65524503136928003</v>
      </c>
      <c r="J137" s="7">
        <v>2.7017346339904189E-2</v>
      </c>
      <c r="K137" s="8">
        <v>1.1299999999999999E-2</v>
      </c>
      <c r="L137" s="8">
        <v>3.1099999999999999E-2</v>
      </c>
      <c r="M137" s="8">
        <v>1.8599999999999998E-2</v>
      </c>
      <c r="N137" s="7">
        <v>1.9799999999999998E-2</v>
      </c>
      <c r="O137" s="7">
        <v>1.0699999999999994E-2</v>
      </c>
      <c r="P137" s="7">
        <v>-2.3E-3</v>
      </c>
      <c r="Q137" s="7">
        <v>3.4722222222220989E-3</v>
      </c>
      <c r="R137" s="7">
        <v>3.3510999999999999E-2</v>
      </c>
      <c r="S137" s="7">
        <v>8.0000000000000004E-4</v>
      </c>
    </row>
    <row r="138" spans="1:19" x14ac:dyDescent="0.3">
      <c r="A138" s="3">
        <v>195805</v>
      </c>
      <c r="B138" s="6">
        <f t="shared" si="4"/>
        <v>1.9989658952566908E-2</v>
      </c>
      <c r="C138" s="4">
        <f t="shared" si="5"/>
        <v>2.0212999999999998E-2</v>
      </c>
      <c r="D138" s="5">
        <v>3.9540258562032207E-2</v>
      </c>
      <c r="E138" s="5">
        <v>4.0131906077348067E-2</v>
      </c>
      <c r="F138" s="7">
        <v>6.8042640054434111E-2</v>
      </c>
      <c r="G138" s="7">
        <v>0.58111000000000002</v>
      </c>
      <c r="H138" s="7">
        <v>4.3311720200000007E-4</v>
      </c>
      <c r="I138" s="7">
        <v>0.64555867732872274</v>
      </c>
      <c r="J138" s="7">
        <v>2.2868602915764539E-2</v>
      </c>
      <c r="K138" s="8">
        <v>9.1000000000000004E-3</v>
      </c>
      <c r="L138" s="8">
        <v>3.1300000000000001E-2</v>
      </c>
      <c r="M138" s="8">
        <v>1E-4</v>
      </c>
      <c r="N138" s="7">
        <v>2.2200000000000001E-2</v>
      </c>
      <c r="O138" s="7">
        <v>1.0500000000000002E-2</v>
      </c>
      <c r="P138" s="7">
        <v>3.0000000000000001E-3</v>
      </c>
      <c r="Q138" s="7">
        <v>0</v>
      </c>
      <c r="R138" s="7">
        <v>2.1312999999999999E-2</v>
      </c>
      <c r="S138" s="7">
        <v>1.1000000000000001E-3</v>
      </c>
    </row>
    <row r="139" spans="1:19" x14ac:dyDescent="0.3">
      <c r="A139" s="3">
        <v>195806</v>
      </c>
      <c r="B139" s="6">
        <f t="shared" si="4"/>
        <v>2.7313266496791024E-2</v>
      </c>
      <c r="C139" s="4">
        <f t="shared" si="5"/>
        <v>2.7697999999999997E-2</v>
      </c>
      <c r="D139" s="5">
        <v>3.8240495137046859E-2</v>
      </c>
      <c r="E139" s="5">
        <v>3.9237922431390335E-2</v>
      </c>
      <c r="F139" s="7">
        <v>6.476569407603891E-2</v>
      </c>
      <c r="G139" s="7">
        <v>0.59044368600682595</v>
      </c>
      <c r="H139" s="7">
        <v>4.3820244600000001E-4</v>
      </c>
      <c r="I139" s="7">
        <v>0.62466016981053152</v>
      </c>
      <c r="J139" s="7">
        <v>2.1435577352341431E-2</v>
      </c>
      <c r="K139" s="8">
        <v>8.3000000000000001E-3</v>
      </c>
      <c r="L139" s="8">
        <v>3.2399999999999998E-2</v>
      </c>
      <c r="M139" s="8">
        <v>-1.6E-2</v>
      </c>
      <c r="N139" s="7">
        <v>2.4099999999999996E-2</v>
      </c>
      <c r="O139" s="7">
        <v>9.8000000000000032E-3</v>
      </c>
      <c r="P139" s="7">
        <v>1.2200000000000001E-2</v>
      </c>
      <c r="Q139" s="7">
        <v>0</v>
      </c>
      <c r="R139" s="7">
        <v>2.7997999999999999E-2</v>
      </c>
      <c r="S139" s="7">
        <v>2.9999999999999997E-4</v>
      </c>
    </row>
    <row r="140" spans="1:19" x14ac:dyDescent="0.3">
      <c r="A140" s="3">
        <v>195807</v>
      </c>
      <c r="B140" s="6">
        <f t="shared" si="4"/>
        <v>4.2321419435921701E-2</v>
      </c>
      <c r="C140" s="4">
        <f t="shared" si="5"/>
        <v>4.326E-2</v>
      </c>
      <c r="D140" s="5">
        <v>3.6660309387582114E-2</v>
      </c>
      <c r="E140" s="5">
        <v>3.8240495137046859E-2</v>
      </c>
      <c r="F140" s="7">
        <v>6.1736172917991106E-2</v>
      </c>
      <c r="G140" s="7">
        <v>0.59382218972790579</v>
      </c>
      <c r="H140" s="7">
        <v>6.9562459599999994E-4</v>
      </c>
      <c r="I140" s="7">
        <v>0.59384878427006493</v>
      </c>
      <c r="J140" s="7">
        <v>1.6932805254793012E-2</v>
      </c>
      <c r="K140" s="8">
        <v>9.1000000000000004E-3</v>
      </c>
      <c r="L140" s="8">
        <v>3.4299999999999997E-2</v>
      </c>
      <c r="M140" s="8">
        <v>-2.7799999999999998E-2</v>
      </c>
      <c r="N140" s="7">
        <v>2.5199999999999997E-2</v>
      </c>
      <c r="O140" s="7">
        <v>8.6000000000000035E-3</v>
      </c>
      <c r="P140" s="7">
        <v>1.2499999999999999E-2</v>
      </c>
      <c r="Q140" s="7">
        <v>3.4602076124568004E-3</v>
      </c>
      <c r="R140" s="7">
        <v>4.3959999999999999E-2</v>
      </c>
      <c r="S140" s="7">
        <v>7.000000000000001E-4</v>
      </c>
    </row>
    <row r="141" spans="1:19" x14ac:dyDescent="0.3">
      <c r="A141" s="3">
        <v>195808</v>
      </c>
      <c r="B141" s="6">
        <f t="shared" si="4"/>
        <v>1.7439015788250613E-2</v>
      </c>
      <c r="C141" s="4">
        <f t="shared" si="5"/>
        <v>1.7599E-2</v>
      </c>
      <c r="D141" s="5">
        <v>3.6230366492146594E-2</v>
      </c>
      <c r="E141" s="5">
        <v>3.6660309387582114E-2</v>
      </c>
      <c r="F141" s="7">
        <v>6.0663246073298427E-2</v>
      </c>
      <c r="G141" s="7">
        <v>0.59723751756327093</v>
      </c>
      <c r="H141" s="7">
        <v>5.8896189300000016E-4</v>
      </c>
      <c r="I141" s="7">
        <v>0.58726382635707686</v>
      </c>
      <c r="J141" s="7">
        <v>1.5089654786730468E-2</v>
      </c>
      <c r="K141" s="8">
        <v>1.6899999999999998E-2</v>
      </c>
      <c r="L141" s="8">
        <v>3.7100000000000001E-2</v>
      </c>
      <c r="M141" s="8">
        <v>-4.3499999999999997E-2</v>
      </c>
      <c r="N141" s="7">
        <v>2.0200000000000003E-2</v>
      </c>
      <c r="O141" s="7">
        <v>8.199999999999999E-3</v>
      </c>
      <c r="P141" s="7">
        <v>1.1499999999999996E-2</v>
      </c>
      <c r="Q141" s="7">
        <v>-3.4482758620689724E-3</v>
      </c>
      <c r="R141" s="7">
        <v>1.7999000000000001E-2</v>
      </c>
      <c r="S141" s="7">
        <v>4.0000000000000002E-4</v>
      </c>
    </row>
    <row r="142" spans="1:19" x14ac:dyDescent="0.3">
      <c r="A142" s="3">
        <v>195809</v>
      </c>
      <c r="B142" s="6">
        <f t="shared" si="4"/>
        <v>4.7688792193871003E-2</v>
      </c>
      <c r="C142" s="4">
        <f t="shared" si="5"/>
        <v>4.8937000000000001E-2</v>
      </c>
      <c r="D142" s="5">
        <v>3.4558529764282857E-2</v>
      </c>
      <c r="E142" s="5">
        <v>3.6230366492146594E-2</v>
      </c>
      <c r="F142" s="7">
        <v>5.7530962844586489E-2</v>
      </c>
      <c r="G142" s="7">
        <v>0.60069444444444442</v>
      </c>
      <c r="H142" s="7">
        <v>5.1018032900000004E-4</v>
      </c>
      <c r="I142" s="7">
        <v>0.56137119660207857</v>
      </c>
      <c r="J142" s="7">
        <v>1.39825511188217E-2</v>
      </c>
      <c r="K142" s="8">
        <v>2.4399999999999998E-2</v>
      </c>
      <c r="L142" s="8">
        <v>3.7999999999999999E-2</v>
      </c>
      <c r="M142" s="8">
        <v>-1.17E-2</v>
      </c>
      <c r="N142" s="7">
        <v>1.3600000000000001E-2</v>
      </c>
      <c r="O142" s="7">
        <v>7.8000000000000014E-3</v>
      </c>
      <c r="P142" s="7">
        <v>2.1000000000000012E-3</v>
      </c>
      <c r="Q142" s="7">
        <v>0</v>
      </c>
      <c r="R142" s="7">
        <v>5.0837E-2</v>
      </c>
      <c r="S142" s="7">
        <v>1.9E-3</v>
      </c>
    </row>
    <row r="143" spans="1:19" x14ac:dyDescent="0.3">
      <c r="A143" s="3">
        <v>195810</v>
      </c>
      <c r="B143" s="6">
        <f t="shared" si="4"/>
        <v>2.5203756761191364E-2</v>
      </c>
      <c r="C143" s="4">
        <f t="shared" si="5"/>
        <v>2.5569999999999999E-2</v>
      </c>
      <c r="D143" s="5">
        <v>3.383343074225599E-2</v>
      </c>
      <c r="E143" s="5">
        <v>3.4691769876148616E-2</v>
      </c>
      <c r="F143" s="7">
        <v>5.6172413793103448E-2</v>
      </c>
      <c r="G143" s="7">
        <v>0.60231399111444062</v>
      </c>
      <c r="H143" s="7">
        <v>7.9347504200000002E-4</v>
      </c>
      <c r="I143" s="7">
        <v>0.54986929789035743</v>
      </c>
      <c r="J143" s="7">
        <v>1.2278005703459745E-2</v>
      </c>
      <c r="K143" s="8">
        <v>2.63E-2</v>
      </c>
      <c r="L143" s="8">
        <v>3.7400000000000003E-2</v>
      </c>
      <c r="M143" s="8">
        <v>1.38E-2</v>
      </c>
      <c r="N143" s="7">
        <v>1.1100000000000002E-2</v>
      </c>
      <c r="O143" s="7">
        <v>8.0999999999999961E-3</v>
      </c>
      <c r="P143" s="7">
        <v>-3.1000000000000003E-3</v>
      </c>
      <c r="Q143" s="7">
        <v>0</v>
      </c>
      <c r="R143" s="7">
        <v>2.7369999999999998E-2</v>
      </c>
      <c r="S143" s="7">
        <v>1.8E-3</v>
      </c>
    </row>
    <row r="144" spans="1:19" x14ac:dyDescent="0.3">
      <c r="A144" s="3">
        <v>195811</v>
      </c>
      <c r="B144" s="6">
        <f t="shared" si="4"/>
        <v>2.7115786097488569E-2</v>
      </c>
      <c r="C144" s="4">
        <f t="shared" si="5"/>
        <v>2.7517E-2</v>
      </c>
      <c r="D144" s="5">
        <v>3.3218940548780489E-2</v>
      </c>
      <c r="E144" s="5">
        <v>3.3963179427235535E-2</v>
      </c>
      <c r="F144" s="7">
        <v>5.5005144817073172E-2</v>
      </c>
      <c r="G144" s="7">
        <v>0.60392424489117214</v>
      </c>
      <c r="H144" s="7">
        <v>1.5302102740000002E-3</v>
      </c>
      <c r="I144" s="7">
        <v>0.53582319807699197</v>
      </c>
      <c r="J144" s="7">
        <v>1.1534113459222454E-2</v>
      </c>
      <c r="K144" s="8">
        <v>2.6699999999999998E-2</v>
      </c>
      <c r="L144" s="8">
        <v>3.6799999999999999E-2</v>
      </c>
      <c r="M144" s="8">
        <v>1.2E-2</v>
      </c>
      <c r="N144" s="7">
        <v>1.0100000000000001E-2</v>
      </c>
      <c r="O144" s="7">
        <v>7.8000000000000014E-3</v>
      </c>
      <c r="P144" s="7">
        <v>-1.4999999999999996E-3</v>
      </c>
      <c r="Q144" s="7">
        <v>3.4602076124568004E-3</v>
      </c>
      <c r="R144" s="7">
        <v>2.8617E-2</v>
      </c>
      <c r="S144" s="7">
        <v>1.1000000000000001E-3</v>
      </c>
    </row>
    <row r="145" spans="1:19" x14ac:dyDescent="0.3">
      <c r="A145" s="3">
        <v>195812</v>
      </c>
      <c r="B145" s="6">
        <f t="shared" si="4"/>
        <v>5.0501122789874384E-2</v>
      </c>
      <c r="C145" s="4">
        <f t="shared" si="5"/>
        <v>5.1912E-2</v>
      </c>
      <c r="D145" s="5">
        <v>3.1697156312262269E-2</v>
      </c>
      <c r="E145" s="5">
        <v>3.3346036585365856E-2</v>
      </c>
      <c r="F145" s="7">
        <v>5.2345589567107408E-2</v>
      </c>
      <c r="G145" s="7">
        <v>0.60553633217993075</v>
      </c>
      <c r="H145" s="7">
        <v>7.1277188500000021E-4</v>
      </c>
      <c r="I145" s="7">
        <v>0.51177931979782398</v>
      </c>
      <c r="J145" s="7">
        <v>2.3686105736377618E-2</v>
      </c>
      <c r="K145" s="8">
        <v>2.7699999999999999E-2</v>
      </c>
      <c r="L145" s="8">
        <v>3.8199999999999998E-2</v>
      </c>
      <c r="M145" s="8">
        <v>-1.8100000000000002E-2</v>
      </c>
      <c r="N145" s="7">
        <v>1.0499999999999999E-2</v>
      </c>
      <c r="O145" s="7">
        <v>7.6999999999999916E-3</v>
      </c>
      <c r="P145" s="7">
        <v>1.2300000000000002E-2</v>
      </c>
      <c r="Q145" s="7">
        <v>-3.4482758620689724E-3</v>
      </c>
      <c r="R145" s="7">
        <v>5.4112E-2</v>
      </c>
      <c r="S145" s="7">
        <v>2.2000000000000001E-3</v>
      </c>
    </row>
    <row r="146" spans="1:19" x14ac:dyDescent="0.3">
      <c r="A146" s="3">
        <v>195901</v>
      </c>
      <c r="B146" s="6">
        <f t="shared" si="4"/>
        <v>4.2132453231988297E-3</v>
      </c>
      <c r="C146" s="4">
        <f t="shared" si="5"/>
        <v>4.2310000000000004E-3</v>
      </c>
      <c r="D146" s="5">
        <v>3.1697401660050521E-2</v>
      </c>
      <c r="E146" s="5">
        <v>3.1817967759463862E-2</v>
      </c>
      <c r="F146" s="7">
        <v>5.3470407795019846E-2</v>
      </c>
      <c r="G146" s="7">
        <v>0.59280269156658216</v>
      </c>
      <c r="H146" s="7">
        <v>5.8486798400000017E-4</v>
      </c>
      <c r="I146" s="7">
        <v>0.50289581790019522</v>
      </c>
      <c r="J146" s="7">
        <v>2.7735541905643243E-2</v>
      </c>
      <c r="K146" s="8">
        <v>2.8199999999999999E-2</v>
      </c>
      <c r="L146" s="8">
        <v>4.0800000000000003E-2</v>
      </c>
      <c r="M146" s="8">
        <v>-8.0000000000000002E-3</v>
      </c>
      <c r="N146" s="7">
        <v>1.2600000000000004E-2</v>
      </c>
      <c r="O146" s="7">
        <v>7.4999999999999997E-3</v>
      </c>
      <c r="P146" s="7">
        <v>5.1999999999999998E-3</v>
      </c>
      <c r="Q146" s="7">
        <v>3.4602076124568004E-3</v>
      </c>
      <c r="R146" s="7">
        <v>6.3309999999999998E-3</v>
      </c>
      <c r="S146" s="7">
        <v>2.0999999999999999E-3</v>
      </c>
    </row>
    <row r="147" spans="1:19" x14ac:dyDescent="0.3">
      <c r="A147" s="3">
        <v>195902</v>
      </c>
      <c r="B147" s="6">
        <f t="shared" si="4"/>
        <v>4.7903842009669002E-3</v>
      </c>
      <c r="C147" s="4">
        <f t="shared" si="5"/>
        <v>4.8110000000000002E-3</v>
      </c>
      <c r="D147" s="5">
        <v>3.182331709077784E-2</v>
      </c>
      <c r="E147" s="5">
        <v>3.181757488271382E-2</v>
      </c>
      <c r="F147" s="7">
        <v>5.4803645551344524E-2</v>
      </c>
      <c r="G147" s="7">
        <v>0.58067883569831424</v>
      </c>
      <c r="H147" s="7">
        <v>8.4473345399999988E-4</v>
      </c>
      <c r="I147" s="7">
        <v>0.49494614747307369</v>
      </c>
      <c r="J147" s="7">
        <v>2.7898134369096595E-2</v>
      </c>
      <c r="K147" s="8">
        <v>2.7000000000000003E-2</v>
      </c>
      <c r="L147" s="8">
        <v>4.02E-2</v>
      </c>
      <c r="M147" s="8">
        <v>1.17E-2</v>
      </c>
      <c r="N147" s="7">
        <v>1.3199999999999996E-2</v>
      </c>
      <c r="O147" s="7">
        <v>7.4999999999999997E-3</v>
      </c>
      <c r="P147" s="7">
        <v>8.9999999999999976E-4</v>
      </c>
      <c r="Q147" s="7">
        <v>-3.4482758620689724E-3</v>
      </c>
      <c r="R147" s="7">
        <v>6.711E-3</v>
      </c>
      <c r="S147" s="7">
        <v>1.9E-3</v>
      </c>
    </row>
    <row r="148" spans="1:19" x14ac:dyDescent="0.3">
      <c r="A148" s="3">
        <v>195903</v>
      </c>
      <c r="B148" s="6">
        <f t="shared" si="4"/>
        <v>1.148811027285904E-3</v>
      </c>
      <c r="C148" s="4">
        <f t="shared" si="5"/>
        <v>1.1519999999999998E-3</v>
      </c>
      <c r="D148" s="5">
        <v>3.1926406926406928E-2</v>
      </c>
      <c r="E148" s="5">
        <v>3.1943692474282623E-2</v>
      </c>
      <c r="F148" s="7">
        <v>5.6096681096681096E-2</v>
      </c>
      <c r="G148" s="7">
        <v>0.56913183279742763</v>
      </c>
      <c r="H148" s="7">
        <v>4.9150812400000003E-4</v>
      </c>
      <c r="I148" s="7">
        <v>0.51686028153097008</v>
      </c>
      <c r="J148" s="7">
        <v>2.4984383092185966E-2</v>
      </c>
      <c r="K148" s="8">
        <v>2.7999999999999997E-2</v>
      </c>
      <c r="L148" s="8">
        <v>4.0300000000000002E-2</v>
      </c>
      <c r="M148" s="8">
        <v>1.6999999999999999E-3</v>
      </c>
      <c r="N148" s="7">
        <v>1.2300000000000005E-2</v>
      </c>
      <c r="O148" s="7">
        <v>7.1999999999999981E-3</v>
      </c>
      <c r="P148" s="7">
        <v>-0.01</v>
      </c>
      <c r="Q148" s="7">
        <v>0</v>
      </c>
      <c r="R148" s="7">
        <v>3.3519999999999999E-3</v>
      </c>
      <c r="S148" s="7">
        <v>2.2000000000000001E-3</v>
      </c>
    </row>
    <row r="149" spans="1:19" x14ac:dyDescent="0.3">
      <c r="A149" s="3">
        <v>195904</v>
      </c>
      <c r="B149" s="6">
        <f t="shared" si="4"/>
        <v>3.7274632219575048E-2</v>
      </c>
      <c r="C149" s="4">
        <f t="shared" si="5"/>
        <v>3.8053999999999998E-2</v>
      </c>
      <c r="D149" s="5">
        <v>3.0850321236325747E-2</v>
      </c>
      <c r="E149" s="5">
        <v>3.2046717171717171E-2</v>
      </c>
      <c r="F149" s="7">
        <v>5.5681021010592115E-2</v>
      </c>
      <c r="G149" s="7">
        <v>0.55405451761484659</v>
      </c>
      <c r="H149" s="7">
        <v>4.9255020899999994E-4</v>
      </c>
      <c r="I149" s="7">
        <v>0.49859719438877753</v>
      </c>
      <c r="J149" s="7">
        <v>2.436055938225842E-2</v>
      </c>
      <c r="K149" s="8">
        <v>2.9500000000000002E-2</v>
      </c>
      <c r="L149" s="8">
        <v>4.1399999999999999E-2</v>
      </c>
      <c r="M149" s="8">
        <v>-1.17E-2</v>
      </c>
      <c r="N149" s="7">
        <v>1.1899999999999997E-2</v>
      </c>
      <c r="O149" s="7">
        <v>6.3E-3</v>
      </c>
      <c r="P149" s="7">
        <v>-5.4999999999999997E-3</v>
      </c>
      <c r="Q149" s="7">
        <v>3.4602076124568004E-3</v>
      </c>
      <c r="R149" s="7">
        <v>4.0053999999999999E-2</v>
      </c>
      <c r="S149" s="7">
        <v>2E-3</v>
      </c>
    </row>
    <row r="150" spans="1:19" x14ac:dyDescent="0.3">
      <c r="A150" s="3">
        <v>195905</v>
      </c>
      <c r="B150" s="6">
        <f t="shared" si="4"/>
        <v>2.1158526569102675E-2</v>
      </c>
      <c r="C150" s="4">
        <f t="shared" si="5"/>
        <v>2.1430999999999999E-2</v>
      </c>
      <c r="D150" s="5">
        <v>3.0390763462849354E-2</v>
      </c>
      <c r="E150" s="5">
        <v>3.0965966313596108E-2</v>
      </c>
      <c r="F150" s="7">
        <v>5.6293967280163594E-2</v>
      </c>
      <c r="G150" s="7">
        <v>0.53985826423639183</v>
      </c>
      <c r="H150" s="7">
        <v>4.2780091399999997E-4</v>
      </c>
      <c r="I150" s="7">
        <v>0.48307677969524226</v>
      </c>
      <c r="J150" s="7">
        <v>2.5887223804802607E-2</v>
      </c>
      <c r="K150" s="8">
        <v>2.8399999999999998E-2</v>
      </c>
      <c r="L150" s="8">
        <v>4.1700000000000001E-2</v>
      </c>
      <c r="M150" s="8">
        <v>-5.0000000000000001E-4</v>
      </c>
      <c r="N150" s="7">
        <v>1.3300000000000003E-2</v>
      </c>
      <c r="O150" s="7">
        <v>5.8999999999999955E-3</v>
      </c>
      <c r="P150" s="7">
        <v>-1.09E-2</v>
      </c>
      <c r="Q150" s="7">
        <v>0</v>
      </c>
      <c r="R150" s="7">
        <v>2.3630999999999999E-2</v>
      </c>
      <c r="S150" s="7">
        <v>2.2000000000000001E-3</v>
      </c>
    </row>
    <row r="151" spans="1:19" x14ac:dyDescent="0.3">
      <c r="A151" s="3">
        <v>195906</v>
      </c>
      <c r="B151" s="6">
        <f t="shared" si="4"/>
        <v>-3.2221431381822736E-3</v>
      </c>
      <c r="C151" s="4">
        <f t="shared" si="5"/>
        <v>-3.225E-3</v>
      </c>
      <c r="D151" s="5">
        <v>3.0613990080383104E-2</v>
      </c>
      <c r="E151" s="5">
        <v>3.0504430811179279E-2</v>
      </c>
      <c r="F151" s="7">
        <v>5.8149478364973493E-2</v>
      </c>
      <c r="G151" s="7">
        <v>0.52647058823529413</v>
      </c>
      <c r="H151" s="7">
        <v>9.1507017399999999E-4</v>
      </c>
      <c r="I151" s="7">
        <v>0.48321939092604099</v>
      </c>
      <c r="J151" s="7">
        <v>2.6882159801315472E-2</v>
      </c>
      <c r="K151" s="8">
        <v>3.2099999999999997E-2</v>
      </c>
      <c r="L151" s="8">
        <v>4.19E-2</v>
      </c>
      <c r="M151" s="8">
        <v>1E-3</v>
      </c>
      <c r="N151" s="7">
        <v>9.8000000000000032E-3</v>
      </c>
      <c r="O151" s="7">
        <v>5.7999999999999996E-3</v>
      </c>
      <c r="P151" s="7">
        <v>3.4000000000000002E-3</v>
      </c>
      <c r="Q151" s="7">
        <v>3.4482758620690834E-3</v>
      </c>
      <c r="R151" s="7">
        <v>-7.2499999999999995E-4</v>
      </c>
      <c r="S151" s="7">
        <v>2.5000000000000001E-3</v>
      </c>
    </row>
    <row r="152" spans="1:19" x14ac:dyDescent="0.3">
      <c r="A152" s="3">
        <v>195907</v>
      </c>
      <c r="B152" s="6">
        <f t="shared" si="4"/>
        <v>3.1425204599621621E-2</v>
      </c>
      <c r="C152" s="4">
        <f t="shared" si="5"/>
        <v>3.2003999999999998E-2</v>
      </c>
      <c r="D152" s="5">
        <v>2.9692117005453645E-2</v>
      </c>
      <c r="E152" s="5">
        <v>3.0728065674704978E-2</v>
      </c>
      <c r="F152" s="7">
        <v>5.6354321599735586E-2</v>
      </c>
      <c r="G152" s="7">
        <v>0.5268826979472141</v>
      </c>
      <c r="H152" s="7">
        <v>4.8779601599999997E-4</v>
      </c>
      <c r="I152" s="7">
        <v>0.4608226647700332</v>
      </c>
      <c r="J152" s="7">
        <v>2.7141487680075987E-2</v>
      </c>
      <c r="K152" s="8">
        <v>3.2000000000000001E-2</v>
      </c>
      <c r="L152" s="8">
        <v>4.1700000000000001E-2</v>
      </c>
      <c r="M152" s="8">
        <v>6.0000000000000001E-3</v>
      </c>
      <c r="N152" s="7">
        <v>9.7000000000000003E-3</v>
      </c>
      <c r="O152" s="7">
        <v>6.1000000000000013E-3</v>
      </c>
      <c r="P152" s="7">
        <v>2.8999999999999998E-3</v>
      </c>
      <c r="Q152" s="7">
        <v>3.4364261168384758E-3</v>
      </c>
      <c r="R152" s="7">
        <v>3.4504E-2</v>
      </c>
      <c r="S152" s="7">
        <v>2.5000000000000001E-3</v>
      </c>
    </row>
    <row r="153" spans="1:19" x14ac:dyDescent="0.3">
      <c r="A153" s="3">
        <v>195908</v>
      </c>
      <c r="B153" s="6">
        <f t="shared" si="4"/>
        <v>-1.3035992893537475E-2</v>
      </c>
      <c r="C153" s="4">
        <f t="shared" si="5"/>
        <v>-1.2976000000000001E-2</v>
      </c>
      <c r="D153" s="5">
        <v>3.0257214765100671E-2</v>
      </c>
      <c r="E153" s="5">
        <v>2.9802181457610315E-2</v>
      </c>
      <c r="F153" s="7">
        <v>5.7382550335570465E-2</v>
      </c>
      <c r="G153" s="7">
        <v>0.52728947368421053</v>
      </c>
      <c r="H153" s="7">
        <v>1.0696993439999998E-3</v>
      </c>
      <c r="I153" s="7">
        <v>0.46808446591712949</v>
      </c>
      <c r="J153" s="7">
        <v>2.8146254817639587E-2</v>
      </c>
      <c r="K153" s="8">
        <v>3.3799999999999997E-2</v>
      </c>
      <c r="L153" s="8">
        <v>4.2299999999999997E-2</v>
      </c>
      <c r="M153" s="8">
        <v>-4.1000000000000003E-3</v>
      </c>
      <c r="N153" s="7">
        <v>8.5000000000000006E-3</v>
      </c>
      <c r="O153" s="7">
        <v>6.6000000000000017E-3</v>
      </c>
      <c r="P153" s="7">
        <v>-2.6999999999999993E-3</v>
      </c>
      <c r="Q153" s="7">
        <v>0</v>
      </c>
      <c r="R153" s="7">
        <v>-1.1076000000000001E-2</v>
      </c>
      <c r="S153" s="7">
        <v>1.9E-3</v>
      </c>
    </row>
    <row r="154" spans="1:19" x14ac:dyDescent="0.3">
      <c r="A154" s="3">
        <v>195909</v>
      </c>
      <c r="B154" s="6">
        <f t="shared" si="4"/>
        <v>-4.7237288160999029E-2</v>
      </c>
      <c r="C154" s="4">
        <f t="shared" si="5"/>
        <v>-4.6281999999999997E-2</v>
      </c>
      <c r="D154" s="5">
        <v>3.1821378340365684E-2</v>
      </c>
      <c r="E154" s="5">
        <v>3.0369127516778522E-2</v>
      </c>
      <c r="F154" s="7">
        <v>6.0302390998593532E-2</v>
      </c>
      <c r="G154" s="7">
        <v>0.52769679300291539</v>
      </c>
      <c r="H154" s="7">
        <v>1.7098447549999997E-3</v>
      </c>
      <c r="I154" s="7">
        <v>0.49233789260385008</v>
      </c>
      <c r="J154" s="7">
        <v>3.0528520482765338E-2</v>
      </c>
      <c r="K154" s="8">
        <v>4.0399999999999998E-2</v>
      </c>
      <c r="L154" s="8">
        <v>4.2900000000000001E-2</v>
      </c>
      <c r="M154" s="8">
        <v>-5.7000000000000002E-3</v>
      </c>
      <c r="N154" s="7">
        <v>2.5000000000000022E-3</v>
      </c>
      <c r="O154" s="7">
        <v>6.6000000000000017E-3</v>
      </c>
      <c r="P154" s="7">
        <v>-3.1000000000000003E-3</v>
      </c>
      <c r="Q154" s="7">
        <v>3.4246575342467001E-3</v>
      </c>
      <c r="R154" s="7">
        <v>-4.3181999999999998E-2</v>
      </c>
      <c r="S154" s="7">
        <v>3.0999999999999999E-3</v>
      </c>
    </row>
    <row r="155" spans="1:19" x14ac:dyDescent="0.3">
      <c r="A155" s="3">
        <v>195910</v>
      </c>
      <c r="B155" s="6">
        <f t="shared" si="4"/>
        <v>9.5000947678297032E-3</v>
      </c>
      <c r="C155" s="4">
        <f t="shared" si="5"/>
        <v>9.5739999999999992E-3</v>
      </c>
      <c r="D155" s="5">
        <v>3.1583275382475656E-2</v>
      </c>
      <c r="E155" s="5">
        <v>3.1938642756680728E-2</v>
      </c>
      <c r="F155" s="7">
        <v>5.9399687065368564E-2</v>
      </c>
      <c r="G155" s="7">
        <v>0.53170777394363522</v>
      </c>
      <c r="H155" s="7">
        <v>6.1818330999999997E-4</v>
      </c>
      <c r="I155" s="7">
        <v>0.48097742035261365</v>
      </c>
      <c r="J155" s="7">
        <v>3.1020333525272625E-2</v>
      </c>
      <c r="K155" s="8">
        <v>4.0500000000000001E-2</v>
      </c>
      <c r="L155" s="8">
        <v>4.2099999999999999E-2</v>
      </c>
      <c r="M155" s="8">
        <v>1.4999999999999999E-2</v>
      </c>
      <c r="N155" s="7">
        <v>1.5999999999999973E-3</v>
      </c>
      <c r="O155" s="7">
        <v>7.0999999999999952E-3</v>
      </c>
      <c r="P155" s="7">
        <v>1.5000000000000013E-3</v>
      </c>
      <c r="Q155" s="7">
        <v>3.4129692832762792E-3</v>
      </c>
      <c r="R155" s="7">
        <v>1.2574E-2</v>
      </c>
      <c r="S155" s="7">
        <v>3.0000000000000001E-3</v>
      </c>
    </row>
    <row r="156" spans="1:19" x14ac:dyDescent="0.3">
      <c r="A156" s="3">
        <v>195911</v>
      </c>
      <c r="B156" s="6">
        <f t="shared" si="4"/>
        <v>1.5720585038517129E-2</v>
      </c>
      <c r="C156" s="4">
        <f t="shared" si="5"/>
        <v>1.5885999999999997E-2</v>
      </c>
      <c r="D156" s="5">
        <v>3.1285689773507201E-2</v>
      </c>
      <c r="E156" s="5">
        <v>3.1699061196105702E-2</v>
      </c>
      <c r="F156" s="7">
        <v>5.8396190803019901E-2</v>
      </c>
      <c r="G156" s="7">
        <v>0.5357488107236148</v>
      </c>
      <c r="H156" s="7">
        <v>4.9969272599999996E-4</v>
      </c>
      <c r="I156" s="7">
        <v>0.47179829485117875</v>
      </c>
      <c r="J156" s="7">
        <v>2.9722481056780204E-2</v>
      </c>
      <c r="K156" s="8">
        <v>4.1500000000000002E-2</v>
      </c>
      <c r="L156" s="8">
        <v>4.3200000000000002E-2</v>
      </c>
      <c r="M156" s="8">
        <v>-1.1900000000000001E-2</v>
      </c>
      <c r="N156" s="7">
        <v>1.7000000000000001E-3</v>
      </c>
      <c r="O156" s="7">
        <v>7.0000000000000062E-3</v>
      </c>
      <c r="P156" s="7">
        <v>2.5399999999999999E-2</v>
      </c>
      <c r="Q156" s="7">
        <v>0</v>
      </c>
      <c r="R156" s="7">
        <v>1.8485999999999999E-2</v>
      </c>
      <c r="S156" s="7">
        <v>2.5999999999999999E-3</v>
      </c>
    </row>
    <row r="157" spans="1:19" x14ac:dyDescent="0.3">
      <c r="A157" s="3">
        <v>195912</v>
      </c>
      <c r="B157" s="6">
        <f t="shared" si="4"/>
        <v>2.5802367664150873E-2</v>
      </c>
      <c r="C157" s="4">
        <f t="shared" si="5"/>
        <v>2.6227E-2</v>
      </c>
      <c r="D157" s="5">
        <v>3.055601936884288E-2</v>
      </c>
      <c r="E157" s="5">
        <v>3.1400137268359642E-2</v>
      </c>
      <c r="F157" s="7">
        <v>5.6603773584905662E-2</v>
      </c>
      <c r="G157" s="7">
        <v>0.53982300884955747</v>
      </c>
      <c r="H157" s="7">
        <v>3.0754351800000001E-4</v>
      </c>
      <c r="I157" s="7">
        <v>0.45778379651436646</v>
      </c>
      <c r="J157" s="7">
        <v>2.285629123836622E-2</v>
      </c>
      <c r="K157" s="8">
        <v>4.4900000000000002E-2</v>
      </c>
      <c r="L157" s="8">
        <v>4.4699999999999997E-2</v>
      </c>
      <c r="M157" s="8">
        <v>-1.5900000000000001E-2</v>
      </c>
      <c r="N157" s="7">
        <v>-2.0000000000000573E-4</v>
      </c>
      <c r="O157" s="7">
        <v>6.9999999999999993E-3</v>
      </c>
      <c r="P157" s="7">
        <v>6.3000000000000018E-3</v>
      </c>
      <c r="Q157" s="7">
        <v>0</v>
      </c>
      <c r="R157" s="7">
        <v>2.9627000000000001E-2</v>
      </c>
      <c r="S157" s="7">
        <v>3.4000000000000002E-3</v>
      </c>
    </row>
    <row r="158" spans="1:19" x14ac:dyDescent="0.3">
      <c r="A158" s="3">
        <v>196001</v>
      </c>
      <c r="B158" s="6">
        <f t="shared" si="4"/>
        <v>-7.5793219368485945E-2</v>
      </c>
      <c r="C158" s="4">
        <f t="shared" si="5"/>
        <v>-7.3232999999999993E-2</v>
      </c>
      <c r="D158" s="5">
        <v>3.3567164179104478E-2</v>
      </c>
      <c r="E158" s="5">
        <v>3.1168308565703792E-2</v>
      </c>
      <c r="F158" s="7">
        <v>6.0960258946232693E-2</v>
      </c>
      <c r="G158" s="7">
        <v>0.55064011799410029</v>
      </c>
      <c r="H158" s="7">
        <v>9.194175330000001E-4</v>
      </c>
      <c r="I158" s="7">
        <v>0.49950210401207801</v>
      </c>
      <c r="J158" s="7">
        <v>2.2116163368750372E-2</v>
      </c>
      <c r="K158" s="8">
        <v>4.3499999999999997E-2</v>
      </c>
      <c r="L158" s="8">
        <v>4.41E-2</v>
      </c>
      <c r="M158" s="8">
        <v>1.12E-2</v>
      </c>
      <c r="N158" s="7">
        <v>6.0000000000000331E-4</v>
      </c>
      <c r="O158" s="7">
        <v>7.299999999999994E-3</v>
      </c>
      <c r="P158" s="7">
        <v>-5.0000000000000044E-4</v>
      </c>
      <c r="Q158" s="7">
        <v>-3.4013605442175798E-3</v>
      </c>
      <c r="R158" s="7">
        <v>-6.9932999999999995E-2</v>
      </c>
      <c r="S158" s="7">
        <v>3.3E-3</v>
      </c>
    </row>
    <row r="159" spans="1:19" x14ac:dyDescent="0.3">
      <c r="A159" s="3">
        <v>196002</v>
      </c>
      <c r="B159" s="6">
        <f t="shared" si="4"/>
        <v>1.0930176021311255E-2</v>
      </c>
      <c r="C159" s="4">
        <f t="shared" si="5"/>
        <v>1.1022000000000001E-2</v>
      </c>
      <c r="D159" s="5">
        <v>3.3915359942979333E-2</v>
      </c>
      <c r="E159" s="5">
        <v>3.4226398129832761E-2</v>
      </c>
      <c r="F159" s="7">
        <v>6.040627227369922E-2</v>
      </c>
      <c r="G159" s="7">
        <v>0.56145427728613562</v>
      </c>
      <c r="H159" s="7">
        <v>1.1502457680000002E-3</v>
      </c>
      <c r="I159" s="7">
        <v>0.49355678283501553</v>
      </c>
      <c r="J159" s="7">
        <v>2.4037486225986546E-2</v>
      </c>
      <c r="K159" s="8">
        <v>3.9599999999999996E-2</v>
      </c>
      <c r="L159" s="8">
        <v>4.2900000000000001E-2</v>
      </c>
      <c r="M159" s="8">
        <v>2.0400000000000001E-2</v>
      </c>
      <c r="N159" s="7">
        <v>3.3000000000000043E-3</v>
      </c>
      <c r="O159" s="7">
        <v>7.8000000000000014E-3</v>
      </c>
      <c r="P159" s="7">
        <v>-7.6000000000000009E-3</v>
      </c>
      <c r="Q159" s="7">
        <v>3.4129692832762792E-3</v>
      </c>
      <c r="R159" s="7">
        <v>1.3922E-2</v>
      </c>
      <c r="S159" s="7">
        <v>2.8999999999999998E-3</v>
      </c>
    </row>
    <row r="160" spans="1:19" x14ac:dyDescent="0.3">
      <c r="A160" s="3">
        <v>196003</v>
      </c>
      <c r="B160" s="6">
        <f t="shared" si="4"/>
        <v>-1.6139509137741641E-2</v>
      </c>
      <c r="C160" s="4">
        <f t="shared" si="5"/>
        <v>-1.6066E-2</v>
      </c>
      <c r="D160" s="5">
        <v>3.5056017347307553E-2</v>
      </c>
      <c r="E160" s="5">
        <v>3.4568781183178902E-2</v>
      </c>
      <c r="F160" s="7">
        <v>6.1257679797614741E-2</v>
      </c>
      <c r="G160" s="7">
        <v>0.57227138643067843</v>
      </c>
      <c r="H160" s="7">
        <v>9.6914646099999983E-4</v>
      </c>
      <c r="I160" s="7">
        <v>0.54979808300491406</v>
      </c>
      <c r="J160" s="7">
        <v>2.5593399195342665E-2</v>
      </c>
      <c r="K160" s="8">
        <v>3.3099999999999997E-2</v>
      </c>
      <c r="L160" s="8">
        <v>4.1099999999999998E-2</v>
      </c>
      <c r="M160" s="8">
        <v>2.8199999999999999E-2</v>
      </c>
      <c r="N160" s="7">
        <v>8.0000000000000002E-3</v>
      </c>
      <c r="O160" s="7">
        <v>7.5999999999999956E-3</v>
      </c>
      <c r="P160" s="7">
        <v>-9.1000000000000004E-3</v>
      </c>
      <c r="Q160" s="7">
        <v>0</v>
      </c>
      <c r="R160" s="7">
        <v>-1.2566000000000001E-2</v>
      </c>
      <c r="S160" s="7">
        <v>3.4999999999999996E-3</v>
      </c>
    </row>
    <row r="161" spans="1:19" x14ac:dyDescent="0.3">
      <c r="A161" s="3">
        <v>196004</v>
      </c>
      <c r="B161" s="6">
        <f t="shared" si="4"/>
        <v>-1.8142423205656809E-2</v>
      </c>
      <c r="C161" s="4">
        <f t="shared" si="5"/>
        <v>-1.8012999999999998E-2</v>
      </c>
      <c r="D161" s="5">
        <v>3.5742688982894982E-2</v>
      </c>
      <c r="E161" s="5">
        <v>3.5116190820383086E-2</v>
      </c>
      <c r="F161" s="7">
        <v>6.1553614125436827E-2</v>
      </c>
      <c r="G161" s="7">
        <v>0.58067571645844973</v>
      </c>
      <c r="H161" s="7">
        <v>6.4516609900000022E-4</v>
      </c>
      <c r="I161" s="7">
        <v>0.5634036895462855</v>
      </c>
      <c r="J161" s="7">
        <v>2.5577117007271291E-2</v>
      </c>
      <c r="K161" s="8">
        <v>3.2300000000000002E-2</v>
      </c>
      <c r="L161" s="8">
        <v>4.2599999999999999E-2</v>
      </c>
      <c r="M161" s="8">
        <v>-1.7000000000000001E-2</v>
      </c>
      <c r="N161" s="7">
        <v>1.0299999999999997E-2</v>
      </c>
      <c r="O161" s="7">
        <v>7.4999999999999997E-3</v>
      </c>
      <c r="P161" s="7">
        <v>1.4800000000000001E-2</v>
      </c>
      <c r="Q161" s="7">
        <v>3.4013605442178019E-3</v>
      </c>
      <c r="R161" s="7">
        <v>-1.6112999999999999E-2</v>
      </c>
      <c r="S161" s="7">
        <v>1.9E-3</v>
      </c>
    </row>
    <row r="162" spans="1:19" x14ac:dyDescent="0.3">
      <c r="A162" s="3">
        <v>196005</v>
      </c>
      <c r="B162" s="6">
        <f t="shared" si="4"/>
        <v>3.0267317129185345E-2</v>
      </c>
      <c r="C162" s="4">
        <f t="shared" si="5"/>
        <v>3.0813E-2</v>
      </c>
      <c r="D162" s="5">
        <v>3.4867813003761419E-2</v>
      </c>
      <c r="E162" s="5">
        <v>3.5804119919073021E-2</v>
      </c>
      <c r="F162" s="7">
        <v>5.9167651800107468E-2</v>
      </c>
      <c r="G162" s="7">
        <v>0.58930533734141</v>
      </c>
      <c r="H162" s="7">
        <v>4.2355850300000004E-4</v>
      </c>
      <c r="I162" s="7">
        <v>0.54196642685851315</v>
      </c>
      <c r="J162" s="7">
        <v>2.4414363040336298E-2</v>
      </c>
      <c r="K162" s="8">
        <v>3.2899999999999999E-2</v>
      </c>
      <c r="L162" s="8">
        <v>4.1700000000000001E-2</v>
      </c>
      <c r="M162" s="8">
        <v>1.52E-2</v>
      </c>
      <c r="N162" s="7">
        <v>8.8000000000000023E-3</v>
      </c>
      <c r="O162" s="7">
        <v>8.199999999999999E-3</v>
      </c>
      <c r="P162" s="7">
        <v>-1.7299999999999999E-2</v>
      </c>
      <c r="Q162" s="7">
        <v>0</v>
      </c>
      <c r="R162" s="7">
        <v>3.3513000000000001E-2</v>
      </c>
      <c r="S162" s="7">
        <v>2.7000000000000001E-3</v>
      </c>
    </row>
    <row r="163" spans="1:19" x14ac:dyDescent="0.3">
      <c r="A163" s="3">
        <v>196006</v>
      </c>
      <c r="B163" s="6">
        <f t="shared" si="4"/>
        <v>1.9170610643125228E-2</v>
      </c>
      <c r="C163" s="4">
        <f t="shared" si="5"/>
        <v>1.9401999999999999E-2</v>
      </c>
      <c r="D163" s="5">
        <v>3.4258608573436398E-2</v>
      </c>
      <c r="E163" s="5">
        <v>3.4927458355722731E-2</v>
      </c>
      <c r="F163" s="7">
        <v>5.7273366127898802E-2</v>
      </c>
      <c r="G163" s="7">
        <v>0.59815950920245398</v>
      </c>
      <c r="H163" s="7">
        <v>4.9894788200000007E-4</v>
      </c>
      <c r="I163" s="7">
        <v>0.52917486185258034</v>
      </c>
      <c r="J163" s="7">
        <v>2.4269812943596255E-2</v>
      </c>
      <c r="K163" s="8">
        <v>2.46E-2</v>
      </c>
      <c r="L163" s="8">
        <v>4.07E-2</v>
      </c>
      <c r="M163" s="8">
        <v>1.7299999999999999E-2</v>
      </c>
      <c r="N163" s="7">
        <v>1.61E-2</v>
      </c>
      <c r="O163" s="7">
        <v>8.0999999999999961E-3</v>
      </c>
      <c r="P163" s="7">
        <v>-3.1999999999999997E-3</v>
      </c>
      <c r="Q163" s="7">
        <v>3.3898305084745228E-3</v>
      </c>
      <c r="R163" s="7">
        <v>2.1801999999999998E-2</v>
      </c>
      <c r="S163" s="7">
        <v>2.3999999999999998E-3</v>
      </c>
    </row>
    <row r="164" spans="1:19" x14ac:dyDescent="0.3">
      <c r="A164" s="3">
        <v>196007</v>
      </c>
      <c r="B164" s="6">
        <f t="shared" si="4"/>
        <v>-2.451455993175122E-2</v>
      </c>
      <c r="C164" s="4">
        <f t="shared" si="5"/>
        <v>-2.4247999999999999E-2</v>
      </c>
      <c r="D164" s="5">
        <v>3.5128805620608897E-2</v>
      </c>
      <c r="E164" s="5">
        <v>3.4258608573436398E-2</v>
      </c>
      <c r="F164" s="7">
        <v>5.8788146279949556E-2</v>
      </c>
      <c r="G164" s="7">
        <v>0.59754912926366632</v>
      </c>
      <c r="H164" s="7">
        <v>9.7781996200000006E-4</v>
      </c>
      <c r="I164" s="7">
        <v>0.54967327679859901</v>
      </c>
      <c r="J164" s="7">
        <v>2.5778333499076E-2</v>
      </c>
      <c r="K164" s="8">
        <v>2.3E-2</v>
      </c>
      <c r="L164" s="8">
        <v>3.8199999999999998E-2</v>
      </c>
      <c r="M164" s="8">
        <v>3.6799999999999999E-2</v>
      </c>
      <c r="N164" s="7">
        <v>1.5199999999999998E-2</v>
      </c>
      <c r="O164" s="7">
        <v>8.0999999999999961E-3</v>
      </c>
      <c r="P164" s="7">
        <v>-1.1099999999999999E-2</v>
      </c>
      <c r="Q164" s="7">
        <v>0</v>
      </c>
      <c r="R164" s="7">
        <v>-2.2948E-2</v>
      </c>
      <c r="S164" s="7">
        <v>1.2999999999999999E-3</v>
      </c>
    </row>
    <row r="165" spans="1:19" x14ac:dyDescent="0.3">
      <c r="A165" s="3">
        <v>196008</v>
      </c>
      <c r="B165" s="6">
        <f t="shared" si="4"/>
        <v>2.9283504137520691E-2</v>
      </c>
      <c r="C165" s="4">
        <f t="shared" si="5"/>
        <v>2.9767000000000002E-2</v>
      </c>
      <c r="D165" s="5">
        <v>3.423455056179775E-2</v>
      </c>
      <c r="E165" s="5">
        <v>3.5128805620608897E-2</v>
      </c>
      <c r="F165" s="7">
        <v>5.7350245786516853E-2</v>
      </c>
      <c r="G165" s="7">
        <v>0.59693816638962616</v>
      </c>
      <c r="H165" s="7">
        <v>6.3696737300000014E-4</v>
      </c>
      <c r="I165" s="7">
        <v>0.54154219715969898</v>
      </c>
      <c r="J165" s="7">
        <v>2.5195382444997815E-2</v>
      </c>
      <c r="K165" s="8">
        <v>2.3E-2</v>
      </c>
      <c r="L165" s="8">
        <v>3.9E-2</v>
      </c>
      <c r="M165" s="8">
        <v>-6.7000000000000002E-3</v>
      </c>
      <c r="N165" s="7">
        <v>1.6E-2</v>
      </c>
      <c r="O165" s="7">
        <v>7.9999999999999932E-3</v>
      </c>
      <c r="P165" s="7">
        <v>1.84E-2</v>
      </c>
      <c r="Q165" s="7">
        <v>0</v>
      </c>
      <c r="R165" s="7">
        <v>3.1467000000000002E-2</v>
      </c>
      <c r="S165" s="7">
        <v>1.7000000000000001E-3</v>
      </c>
    </row>
    <row r="166" spans="1:19" x14ac:dyDescent="0.3">
      <c r="A166" s="3">
        <v>196009</v>
      </c>
      <c r="B166" s="6">
        <f t="shared" si="4"/>
        <v>-6.2105912575375302E-2</v>
      </c>
      <c r="C166" s="4">
        <f t="shared" si="5"/>
        <v>-6.0312999999999999E-2</v>
      </c>
      <c r="D166" s="5">
        <v>3.643497757847533E-2</v>
      </c>
      <c r="E166" s="5">
        <v>3.423455056179775E-2</v>
      </c>
      <c r="F166" s="7">
        <v>6.1098654708520175E-2</v>
      </c>
      <c r="G166" s="7">
        <v>0.59633027522935778</v>
      </c>
      <c r="H166" s="7">
        <v>1.771622224E-3</v>
      </c>
      <c r="I166" s="7">
        <v>0.58434171062157414</v>
      </c>
      <c r="J166" s="7">
        <v>2.8312308239426341E-2</v>
      </c>
      <c r="K166" s="8">
        <v>2.4799999999999999E-2</v>
      </c>
      <c r="L166" s="8">
        <v>3.8699999999999998E-2</v>
      </c>
      <c r="M166" s="8">
        <v>7.4999999999999997E-3</v>
      </c>
      <c r="N166" s="7">
        <v>1.3899999999999999E-2</v>
      </c>
      <c r="O166" s="7">
        <v>7.5999999999999956E-3</v>
      </c>
      <c r="P166" s="7">
        <v>-1.38E-2</v>
      </c>
      <c r="Q166" s="7">
        <v>0</v>
      </c>
      <c r="R166" s="7">
        <v>-5.8713000000000001E-2</v>
      </c>
      <c r="S166" s="7">
        <v>1.6000000000000001E-3</v>
      </c>
    </row>
    <row r="167" spans="1:19" x14ac:dyDescent="0.3">
      <c r="A167" s="3">
        <v>196010</v>
      </c>
      <c r="B167" s="6">
        <f t="shared" si="4"/>
        <v>-3.2771660830650902E-3</v>
      </c>
      <c r="C167" s="4">
        <f t="shared" si="5"/>
        <v>-3.2790000000000002E-3</v>
      </c>
      <c r="D167" s="5">
        <v>3.6523693575575951E-2</v>
      </c>
      <c r="E167" s="5">
        <v>3.643497757847533E-2</v>
      </c>
      <c r="F167" s="7">
        <v>6.1247424611350437E-2</v>
      </c>
      <c r="G167" s="7">
        <v>0.59633027522935778</v>
      </c>
      <c r="H167" s="7">
        <v>1.0487145690000002E-3</v>
      </c>
      <c r="I167" s="7">
        <v>0.58412020125439379</v>
      </c>
      <c r="J167" s="7">
        <v>2.7823607776101215E-2</v>
      </c>
      <c r="K167" s="8">
        <v>2.3E-2</v>
      </c>
      <c r="L167" s="8">
        <v>3.9100000000000003E-2</v>
      </c>
      <c r="M167" s="8">
        <v>-2.8E-3</v>
      </c>
      <c r="N167" s="7">
        <v>1.6100000000000003E-2</v>
      </c>
      <c r="O167" s="7">
        <v>8.10000000000001E-3</v>
      </c>
      <c r="P167" s="7">
        <v>3.5999999999999999E-3</v>
      </c>
      <c r="Q167" s="7">
        <v>6.7567567567567988E-3</v>
      </c>
      <c r="R167" s="7">
        <v>-1.0790000000000001E-3</v>
      </c>
      <c r="S167" s="7">
        <v>2.2000000000000001E-3</v>
      </c>
    </row>
    <row r="168" spans="1:19" x14ac:dyDescent="0.3">
      <c r="A168" s="3">
        <v>196011</v>
      </c>
      <c r="B168" s="6">
        <f t="shared" si="4"/>
        <v>4.3751644771463483E-2</v>
      </c>
      <c r="C168" s="4">
        <f t="shared" si="5"/>
        <v>4.4780999999999994E-2</v>
      </c>
      <c r="D168" s="5">
        <v>3.5109830752610732E-2</v>
      </c>
      <c r="E168" s="5">
        <v>3.6523693575575951E-2</v>
      </c>
      <c r="F168" s="7">
        <v>5.887648541591646E-2</v>
      </c>
      <c r="G168" s="7">
        <v>0.59633027522935778</v>
      </c>
      <c r="H168" s="7">
        <v>6.6867403499999993E-4</v>
      </c>
      <c r="I168" s="7">
        <v>0.56763001908844313</v>
      </c>
      <c r="J168" s="7">
        <v>2.6034029017606933E-2</v>
      </c>
      <c r="K168" s="8">
        <v>2.3700000000000002E-2</v>
      </c>
      <c r="L168" s="8">
        <v>3.9899999999999998E-2</v>
      </c>
      <c r="M168" s="8">
        <v>-6.6E-3</v>
      </c>
      <c r="N168" s="7">
        <v>1.6199999999999996E-2</v>
      </c>
      <c r="O168" s="7">
        <v>7.6999999999999985E-3</v>
      </c>
      <c r="P168" s="7">
        <v>-4.0000000000000018E-4</v>
      </c>
      <c r="Q168" s="7">
        <v>0</v>
      </c>
      <c r="R168" s="7">
        <v>4.6080999999999997E-2</v>
      </c>
      <c r="S168" s="7">
        <v>1.2999999999999999E-3</v>
      </c>
    </row>
    <row r="169" spans="1:19" x14ac:dyDescent="0.3">
      <c r="A169" s="3">
        <v>196012</v>
      </c>
      <c r="B169" s="6">
        <f t="shared" si="4"/>
        <v>4.608511676698894E-2</v>
      </c>
      <c r="C169" s="4">
        <f t="shared" si="5"/>
        <v>4.7239000000000003E-2</v>
      </c>
      <c r="D169" s="5">
        <v>3.3557046979865772E-2</v>
      </c>
      <c r="E169" s="5">
        <v>3.5109830752610732E-2</v>
      </c>
      <c r="F169" s="7">
        <v>5.6272586473928757E-2</v>
      </c>
      <c r="G169" s="7">
        <v>0.59633027522935778</v>
      </c>
      <c r="H169" s="7">
        <v>4.5030553899999998E-4</v>
      </c>
      <c r="I169" s="7">
        <v>0.55042296513987887</v>
      </c>
      <c r="J169" s="7">
        <v>2.2761351627756551E-2</v>
      </c>
      <c r="K169" s="8">
        <v>2.2499999999999999E-2</v>
      </c>
      <c r="L169" s="8">
        <v>3.7999999999999999E-2</v>
      </c>
      <c r="M169" s="8">
        <v>2.7900000000000001E-2</v>
      </c>
      <c r="N169" s="7">
        <v>1.55E-2</v>
      </c>
      <c r="O169" s="7">
        <v>7.4999999999999997E-3</v>
      </c>
      <c r="P169" s="7">
        <v>-1.7500000000000002E-2</v>
      </c>
      <c r="Q169" s="7">
        <v>0</v>
      </c>
      <c r="R169" s="7">
        <v>4.8839E-2</v>
      </c>
      <c r="S169" s="7">
        <v>1.6000000000000001E-3</v>
      </c>
    </row>
    <row r="170" spans="1:19" x14ac:dyDescent="0.3">
      <c r="A170" s="3">
        <v>196101</v>
      </c>
      <c r="B170" s="6">
        <f t="shared" si="4"/>
        <v>6.0437900299290782E-2</v>
      </c>
      <c r="C170" s="4">
        <f t="shared" si="5"/>
        <v>6.2420000000000003E-2</v>
      </c>
      <c r="D170" s="5">
        <v>3.150971188086759E-2</v>
      </c>
      <c r="E170" s="5">
        <v>3.3499741868869386E-2</v>
      </c>
      <c r="F170" s="7">
        <v>5.1958562641631595E-2</v>
      </c>
      <c r="G170" s="7">
        <v>0.60643925233644858</v>
      </c>
      <c r="H170" s="7">
        <v>7.4112368400000008E-4</v>
      </c>
      <c r="I170" s="7">
        <v>0.52298673248997218</v>
      </c>
      <c r="J170" s="7">
        <v>2.1815330549471053E-2</v>
      </c>
      <c r="K170" s="8">
        <v>2.2400000000000003E-2</v>
      </c>
      <c r="L170" s="8">
        <v>4.0399999999999998E-2</v>
      </c>
      <c r="M170" s="8">
        <v>-1.0699999999999999E-2</v>
      </c>
      <c r="N170" s="7">
        <v>1.7999999999999995E-2</v>
      </c>
      <c r="O170" s="7">
        <v>7.7999999999999944E-3</v>
      </c>
      <c r="P170" s="7">
        <v>2.5500000000000002E-2</v>
      </c>
      <c r="Q170" s="7">
        <v>0</v>
      </c>
      <c r="R170" s="7">
        <v>6.4320000000000002E-2</v>
      </c>
      <c r="S170" s="7">
        <v>1.9E-3</v>
      </c>
    </row>
    <row r="171" spans="1:19" x14ac:dyDescent="0.3">
      <c r="A171" s="3">
        <v>196102</v>
      </c>
      <c r="B171" s="6">
        <f t="shared" si="4"/>
        <v>3.0911332143314256E-2</v>
      </c>
      <c r="C171" s="4">
        <f t="shared" si="5"/>
        <v>3.1438000000000001E-2</v>
      </c>
      <c r="D171" s="5">
        <v>3.0632566204287517E-2</v>
      </c>
      <c r="E171" s="5">
        <v>3.145564907737132E-2</v>
      </c>
      <c r="F171" s="7">
        <v>4.9653215636822193E-2</v>
      </c>
      <c r="G171" s="7">
        <v>0.61693015873015877</v>
      </c>
      <c r="H171" s="7">
        <v>5.4745936E-4</v>
      </c>
      <c r="I171" s="7">
        <v>0.51202271628806184</v>
      </c>
      <c r="J171" s="7">
        <v>1.9419901401943346E-2</v>
      </c>
      <c r="K171" s="8">
        <v>2.4199999999999999E-2</v>
      </c>
      <c r="L171" s="8">
        <v>3.9199999999999999E-2</v>
      </c>
      <c r="M171" s="8">
        <v>0.02</v>
      </c>
      <c r="N171" s="7">
        <v>1.4999999999999999E-2</v>
      </c>
      <c r="O171" s="7">
        <v>8.0000000000000071E-3</v>
      </c>
      <c r="P171" s="7">
        <v>1.0000000000000009E-3</v>
      </c>
      <c r="Q171" s="7">
        <v>0</v>
      </c>
      <c r="R171" s="7">
        <v>3.2837999999999999E-2</v>
      </c>
      <c r="S171" s="7">
        <v>1.4000000000000002E-3</v>
      </c>
    </row>
    <row r="172" spans="1:19" x14ac:dyDescent="0.3">
      <c r="A172" s="3">
        <v>196103</v>
      </c>
      <c r="B172" s="6">
        <f t="shared" si="4"/>
        <v>2.6924674964406613E-2</v>
      </c>
      <c r="C172" s="4">
        <f t="shared" si="5"/>
        <v>2.7345000000000001E-2</v>
      </c>
      <c r="D172" s="5">
        <v>2.9818628957885028E-2</v>
      </c>
      <c r="E172" s="5">
        <v>3.0580075662042877E-2</v>
      </c>
      <c r="F172" s="7">
        <v>4.7494620350445736E-2</v>
      </c>
      <c r="G172" s="7">
        <v>0.62783171521035597</v>
      </c>
      <c r="H172" s="7">
        <v>4.1494116799999998E-4</v>
      </c>
      <c r="I172" s="7">
        <v>0.54667986935252644</v>
      </c>
      <c r="J172" s="7">
        <v>2.2737600973699038E-2</v>
      </c>
      <c r="K172" s="8">
        <v>2.3900000000000001E-2</v>
      </c>
      <c r="L172" s="8">
        <v>3.9699999999999999E-2</v>
      </c>
      <c r="M172" s="8">
        <v>-3.7000000000000002E-3</v>
      </c>
      <c r="N172" s="7">
        <v>1.5799999999999998E-2</v>
      </c>
      <c r="O172" s="7">
        <v>8.0000000000000002E-3</v>
      </c>
      <c r="P172" s="7">
        <v>8.0000000000000036E-4</v>
      </c>
      <c r="Q172" s="7">
        <v>0</v>
      </c>
      <c r="R172" s="7">
        <v>2.9345E-2</v>
      </c>
      <c r="S172" s="7">
        <v>2E-3</v>
      </c>
    </row>
    <row r="173" spans="1:19" x14ac:dyDescent="0.3">
      <c r="A173" s="3">
        <v>196104</v>
      </c>
      <c r="B173" s="6">
        <f t="shared" si="4"/>
        <v>2.8281822047998553E-3</v>
      </c>
      <c r="C173" s="4">
        <f t="shared" si="5"/>
        <v>2.8370000000000001E-3</v>
      </c>
      <c r="D173" s="5">
        <v>2.9704486296126164E-2</v>
      </c>
      <c r="E173" s="5">
        <v>2.9818628957885028E-2</v>
      </c>
      <c r="F173" s="7">
        <v>4.7006583984075943E-2</v>
      </c>
      <c r="G173" s="7">
        <v>0.63192182410423459</v>
      </c>
      <c r="H173" s="7">
        <v>1.0092086259999998E-3</v>
      </c>
      <c r="I173" s="7">
        <v>0.54500449381915683</v>
      </c>
      <c r="J173" s="7">
        <v>2.3259282735476786E-2</v>
      </c>
      <c r="K173" s="8">
        <v>2.29E-2</v>
      </c>
      <c r="L173" s="8">
        <v>3.9100000000000003E-2</v>
      </c>
      <c r="M173" s="8">
        <v>1.15E-2</v>
      </c>
      <c r="N173" s="7">
        <v>1.6200000000000003E-2</v>
      </c>
      <c r="O173" s="7">
        <v>7.5999999999999956E-3</v>
      </c>
      <c r="P173" s="7">
        <v>-2.3099999999999999E-2</v>
      </c>
      <c r="Q173" s="7">
        <v>0</v>
      </c>
      <c r="R173" s="7">
        <v>4.5370000000000002E-3</v>
      </c>
      <c r="S173" s="7">
        <v>1.7000000000000001E-3</v>
      </c>
    </row>
    <row r="174" spans="1:19" x14ac:dyDescent="0.3">
      <c r="A174" s="3">
        <v>196105</v>
      </c>
      <c r="B174" s="6">
        <f t="shared" si="4"/>
        <v>2.1481525934344849E-2</v>
      </c>
      <c r="C174" s="4">
        <f t="shared" si="5"/>
        <v>2.1753000000000002E-2</v>
      </c>
      <c r="D174" s="5">
        <v>2.9146634615384612E-2</v>
      </c>
      <c r="E174" s="5">
        <v>2.9704486296126164E-2</v>
      </c>
      <c r="F174" s="7">
        <v>4.5823317307692304E-2</v>
      </c>
      <c r="G174" s="7">
        <v>0.63606557377049178</v>
      </c>
      <c r="H174" s="7">
        <v>4.0434342199999998E-4</v>
      </c>
      <c r="I174" s="7">
        <v>0.53091629348949354</v>
      </c>
      <c r="J174" s="7">
        <v>2.2465697915777127E-2</v>
      </c>
      <c r="K174" s="8">
        <v>2.29E-2</v>
      </c>
      <c r="L174" s="8">
        <v>3.9699999999999999E-2</v>
      </c>
      <c r="M174" s="8">
        <v>-4.5999999999999999E-3</v>
      </c>
      <c r="N174" s="7">
        <v>1.6799999999999999E-2</v>
      </c>
      <c r="O174" s="7">
        <v>7.4000000000000038E-3</v>
      </c>
      <c r="P174" s="7">
        <v>9.4999999999999998E-3</v>
      </c>
      <c r="Q174" s="7">
        <v>0</v>
      </c>
      <c r="R174" s="7">
        <v>2.3553000000000001E-2</v>
      </c>
      <c r="S174" s="7">
        <v>1.8E-3</v>
      </c>
    </row>
    <row r="175" spans="1:19" x14ac:dyDescent="0.3">
      <c r="A175" s="3">
        <v>196106</v>
      </c>
      <c r="B175" s="6">
        <f t="shared" si="4"/>
        <v>-2.9033181921077018E-2</v>
      </c>
      <c r="C175" s="4">
        <f t="shared" si="5"/>
        <v>-2.8672999999999997E-2</v>
      </c>
      <c r="D175" s="5">
        <v>3.0012376237623761E-2</v>
      </c>
      <c r="E175" s="5">
        <v>2.9146634615384612E-2</v>
      </c>
      <c r="F175" s="7">
        <v>4.6875E-2</v>
      </c>
      <c r="G175" s="7">
        <v>0.64026402640264024</v>
      </c>
      <c r="H175" s="7">
        <v>5.4890740400000007E-4</v>
      </c>
      <c r="I175" s="7">
        <v>0.54082110064916067</v>
      </c>
      <c r="J175" s="7">
        <v>2.2482163583148963E-2</v>
      </c>
      <c r="K175" s="8">
        <v>2.3300000000000001E-2</v>
      </c>
      <c r="L175" s="8">
        <v>4.0399999999999998E-2</v>
      </c>
      <c r="M175" s="8">
        <v>-7.4999999999999997E-3</v>
      </c>
      <c r="N175" s="7">
        <v>1.7099999999999997E-2</v>
      </c>
      <c r="O175" s="7">
        <v>7.0000000000000062E-3</v>
      </c>
      <c r="P175" s="7">
        <v>-5.0000000000000044E-4</v>
      </c>
      <c r="Q175" s="7">
        <v>0</v>
      </c>
      <c r="R175" s="7">
        <v>-2.6672999999999999E-2</v>
      </c>
      <c r="S175" s="7">
        <v>2E-3</v>
      </c>
    </row>
    <row r="176" spans="1:19" x14ac:dyDescent="0.3">
      <c r="A176" s="3">
        <v>196107</v>
      </c>
      <c r="B176" s="6">
        <f t="shared" si="4"/>
        <v>3.1438115301286353E-2</v>
      </c>
      <c r="C176" s="4">
        <f t="shared" si="5"/>
        <v>3.1994999999999996E-2</v>
      </c>
      <c r="D176" s="5">
        <v>2.9159227082085078E-2</v>
      </c>
      <c r="E176" s="5">
        <v>3.0115563118811878E-2</v>
      </c>
      <c r="F176" s="7">
        <v>4.54863690832834E-2</v>
      </c>
      <c r="G176" s="7">
        <v>0.64105418106017442</v>
      </c>
      <c r="H176" s="7">
        <v>6.2837373699999998E-4</v>
      </c>
      <c r="I176" s="7">
        <v>0.52440563108723082</v>
      </c>
      <c r="J176" s="7">
        <v>2.5179673047700687E-2</v>
      </c>
      <c r="K176" s="8">
        <v>2.2400000000000003E-2</v>
      </c>
      <c r="L176" s="8">
        <v>4.0399999999999998E-2</v>
      </c>
      <c r="M176" s="8">
        <v>3.5000000000000001E-3</v>
      </c>
      <c r="N176" s="7">
        <v>1.7999999999999995E-2</v>
      </c>
      <c r="O176" s="7">
        <v>6.8000000000000005E-3</v>
      </c>
      <c r="P176" s="7">
        <v>5.0000000000000001E-4</v>
      </c>
      <c r="Q176" s="7">
        <v>6.7114093959730337E-3</v>
      </c>
      <c r="R176" s="7">
        <v>3.3794999999999999E-2</v>
      </c>
      <c r="S176" s="7">
        <v>1.8E-3</v>
      </c>
    </row>
    <row r="177" spans="1:19" x14ac:dyDescent="0.3">
      <c r="A177" s="3">
        <v>196108</v>
      </c>
      <c r="B177" s="6">
        <f t="shared" si="4"/>
        <v>2.3030142342789186E-2</v>
      </c>
      <c r="C177" s="4">
        <f t="shared" si="5"/>
        <v>2.3329999999999997E-2</v>
      </c>
      <c r="D177" s="5">
        <v>2.869590127809608E-2</v>
      </c>
      <c r="E177" s="5">
        <v>2.9258987417615335E-2</v>
      </c>
      <c r="F177" s="7">
        <v>4.4708829146466879E-2</v>
      </c>
      <c r="G177" s="7">
        <v>0.64183969533372986</v>
      </c>
      <c r="H177" s="7">
        <v>4.0621505100000004E-4</v>
      </c>
      <c r="I177" s="7">
        <v>0.51379281606800564</v>
      </c>
      <c r="J177" s="7">
        <v>2.5425953517668274E-2</v>
      </c>
      <c r="K177" s="8">
        <v>2.3900000000000001E-2</v>
      </c>
      <c r="L177" s="8">
        <v>4.1000000000000002E-2</v>
      </c>
      <c r="M177" s="8">
        <v>-3.8E-3</v>
      </c>
      <c r="N177" s="7">
        <v>1.7100000000000001E-2</v>
      </c>
      <c r="O177" s="7">
        <v>6.6000000000000017E-3</v>
      </c>
      <c r="P177" s="7">
        <v>2E-3</v>
      </c>
      <c r="Q177" s="7">
        <v>-3.3333333333334103E-3</v>
      </c>
      <c r="R177" s="7">
        <v>2.4729999999999999E-2</v>
      </c>
      <c r="S177" s="7">
        <v>1.4000000000000002E-3</v>
      </c>
    </row>
    <row r="178" spans="1:19" x14ac:dyDescent="0.3">
      <c r="A178" s="3">
        <v>196109</v>
      </c>
      <c r="B178" s="6">
        <f t="shared" si="4"/>
        <v>-2.0549117291070028E-2</v>
      </c>
      <c r="C178" s="4">
        <f t="shared" si="5"/>
        <v>-2.0374E-2</v>
      </c>
      <c r="D178" s="5">
        <v>2.9372096508317097E-2</v>
      </c>
      <c r="E178" s="5">
        <v>2.8793888644042899E-2</v>
      </c>
      <c r="F178" s="7">
        <v>4.570657875018732E-2</v>
      </c>
      <c r="G178" s="7">
        <v>0.64262295081967213</v>
      </c>
      <c r="H178" s="7">
        <v>8.2249960599999994E-4</v>
      </c>
      <c r="I178" s="7">
        <v>0.52751672109639047</v>
      </c>
      <c r="J178" s="7">
        <v>2.496340649526535E-2</v>
      </c>
      <c r="K178" s="8">
        <v>2.2799999999999997E-2</v>
      </c>
      <c r="L178" s="8">
        <v>4.0300000000000002E-2</v>
      </c>
      <c r="M178" s="8">
        <v>1.29E-2</v>
      </c>
      <c r="N178" s="7">
        <v>1.7500000000000005E-2</v>
      </c>
      <c r="O178" s="7">
        <v>6.6999999999999976E-3</v>
      </c>
      <c r="P178" s="7">
        <v>1.4999999999999996E-3</v>
      </c>
      <c r="Q178" s="7">
        <v>3.3444816053511683E-3</v>
      </c>
      <c r="R178" s="7">
        <v>-1.8674E-2</v>
      </c>
      <c r="S178" s="7">
        <v>1.7000000000000001E-3</v>
      </c>
    </row>
    <row r="179" spans="1:19" x14ac:dyDescent="0.3">
      <c r="A179" s="3">
        <v>196110</v>
      </c>
      <c r="B179" s="6">
        <f t="shared" si="4"/>
        <v>2.5886216127305968E-2</v>
      </c>
      <c r="C179" s="4">
        <f t="shared" si="5"/>
        <v>2.6274000000000002E-2</v>
      </c>
      <c r="D179" s="5">
        <v>2.8854561352375397E-2</v>
      </c>
      <c r="E179" s="5">
        <v>2.9671811778810127E-2</v>
      </c>
      <c r="F179" s="7">
        <v>4.512780530457592E-2</v>
      </c>
      <c r="G179" s="7">
        <v>0.6393965130285113</v>
      </c>
      <c r="H179" s="7">
        <v>2.6750879100000005E-4</v>
      </c>
      <c r="I179" s="7">
        <v>0.52548585066484832</v>
      </c>
      <c r="J179" s="7">
        <v>2.5835926814774025E-2</v>
      </c>
      <c r="K179" s="8">
        <v>2.3E-2</v>
      </c>
      <c r="L179" s="8">
        <v>0.04</v>
      </c>
      <c r="M179" s="8">
        <v>7.1000000000000004E-3</v>
      </c>
      <c r="N179" s="7">
        <v>1.7000000000000001E-2</v>
      </c>
      <c r="O179" s="7">
        <v>7.1000000000000021E-3</v>
      </c>
      <c r="P179" s="7">
        <v>5.5999999999999991E-3</v>
      </c>
      <c r="Q179" s="7">
        <v>0</v>
      </c>
      <c r="R179" s="7">
        <v>2.8174000000000001E-2</v>
      </c>
      <c r="S179" s="7">
        <v>1.9E-3</v>
      </c>
    </row>
    <row r="180" spans="1:19" x14ac:dyDescent="0.3">
      <c r="A180" s="3">
        <v>196111</v>
      </c>
      <c r="B180" s="6">
        <f t="shared" si="4"/>
        <v>4.2734253853081806E-2</v>
      </c>
      <c r="C180" s="4">
        <f t="shared" si="5"/>
        <v>4.3726000000000001E-2</v>
      </c>
      <c r="D180" s="5">
        <v>2.8042624789680316E-2</v>
      </c>
      <c r="E180" s="5">
        <v>2.9146021568055958E-2</v>
      </c>
      <c r="F180" s="7">
        <v>4.4073611890072917E-2</v>
      </c>
      <c r="G180" s="7">
        <v>0.63626790696490665</v>
      </c>
      <c r="H180" s="7">
        <v>3.6039020500000009E-4</v>
      </c>
      <c r="I180" s="7">
        <v>0.51261086474501105</v>
      </c>
      <c r="J180" s="7">
        <v>2.5570748681004903E-2</v>
      </c>
      <c r="K180" s="8">
        <v>2.4799999999999999E-2</v>
      </c>
      <c r="L180" s="8">
        <v>4.0399999999999998E-2</v>
      </c>
      <c r="M180" s="8">
        <v>-2E-3</v>
      </c>
      <c r="N180" s="7">
        <v>1.5599999999999999E-2</v>
      </c>
      <c r="O180" s="7">
        <v>7.2000000000000119E-3</v>
      </c>
      <c r="P180" s="7">
        <v>4.8000000000000004E-3</v>
      </c>
      <c r="Q180" s="7">
        <v>0</v>
      </c>
      <c r="R180" s="7">
        <v>4.5226000000000002E-2</v>
      </c>
      <c r="S180" s="7">
        <v>1.5E-3</v>
      </c>
    </row>
    <row r="181" spans="1:19" x14ac:dyDescent="0.3">
      <c r="A181" s="3">
        <v>196112</v>
      </c>
      <c r="B181" s="6">
        <f t="shared" si="4"/>
        <v>2.7868109071793115E-3</v>
      </c>
      <c r="C181" s="4">
        <f t="shared" si="5"/>
        <v>2.7959999999999999E-3</v>
      </c>
      <c r="D181" s="5">
        <v>2.8232005590496156E-2</v>
      </c>
      <c r="E181" s="5">
        <v>2.832305103757712E-2</v>
      </c>
      <c r="F181" s="7">
        <v>4.4584206848357795E-2</v>
      </c>
      <c r="G181" s="7">
        <v>0.63322884012539182</v>
      </c>
      <c r="H181" s="7">
        <v>3.36901535E-4</v>
      </c>
      <c r="I181" s="7">
        <v>0.5059222583910058</v>
      </c>
      <c r="J181" s="7">
        <v>2.23243074528514E-2</v>
      </c>
      <c r="K181" s="8">
        <v>2.6000000000000002E-2</v>
      </c>
      <c r="L181" s="8">
        <v>4.1500000000000002E-2</v>
      </c>
      <c r="M181" s="8">
        <v>-1.2500000000000001E-2</v>
      </c>
      <c r="N181" s="7">
        <v>1.55E-2</v>
      </c>
      <c r="O181" s="7">
        <v>6.8000000000000005E-3</v>
      </c>
      <c r="P181" s="7">
        <v>9.9000000000000008E-3</v>
      </c>
      <c r="Q181" s="7">
        <v>0</v>
      </c>
      <c r="R181" s="7">
        <v>4.6959999999999997E-3</v>
      </c>
      <c r="S181" s="7">
        <v>1.9E-3</v>
      </c>
    </row>
    <row r="182" spans="1:19" x14ac:dyDescent="0.3">
      <c r="A182" s="3">
        <v>196201</v>
      </c>
      <c r="B182" s="6">
        <f t="shared" si="4"/>
        <v>-4.0468738220826979E-2</v>
      </c>
      <c r="C182" s="4">
        <f t="shared" si="5"/>
        <v>-3.9756E-2</v>
      </c>
      <c r="D182" s="5">
        <v>2.9440296339337597E-2</v>
      </c>
      <c r="E182" s="5">
        <v>2.8325227113906361E-2</v>
      </c>
      <c r="F182" s="7">
        <v>4.7210923881464265E-2</v>
      </c>
      <c r="G182" s="7">
        <v>0.62359076923076928</v>
      </c>
      <c r="H182" s="7">
        <v>8.1153065100000009E-4</v>
      </c>
      <c r="I182" s="7">
        <v>0.52842857142857136</v>
      </c>
      <c r="J182" s="7">
        <v>2.4721375347346548E-2</v>
      </c>
      <c r="K182" s="8">
        <v>2.7200000000000002E-2</v>
      </c>
      <c r="L182" s="8">
        <v>4.19E-2</v>
      </c>
      <c r="M182" s="8">
        <v>-1.4E-3</v>
      </c>
      <c r="N182" s="7">
        <v>1.4699999999999998E-2</v>
      </c>
      <c r="O182" s="7">
        <v>6.6000000000000017E-3</v>
      </c>
      <c r="P182" s="7">
        <v>9.4000000000000004E-3</v>
      </c>
      <c r="Q182" s="7">
        <v>0</v>
      </c>
      <c r="R182" s="7">
        <v>-3.7356E-2</v>
      </c>
      <c r="S182" s="7">
        <v>2.3999999999999998E-3</v>
      </c>
    </row>
    <row r="183" spans="1:19" x14ac:dyDescent="0.3">
      <c r="A183" s="3">
        <v>196202</v>
      </c>
      <c r="B183" s="6">
        <f t="shared" si="4"/>
        <v>1.8384848427982461E-2</v>
      </c>
      <c r="C183" s="4">
        <f t="shared" si="5"/>
        <v>1.8591999999999997E-2</v>
      </c>
      <c r="D183" s="5">
        <v>2.9064179531160663E-2</v>
      </c>
      <c r="E183" s="5">
        <v>2.9537042417199299E-2</v>
      </c>
      <c r="F183" s="7">
        <v>4.7312750142938828E-2</v>
      </c>
      <c r="G183" s="7">
        <v>0.6142990936555891</v>
      </c>
      <c r="H183" s="7">
        <v>2.6509674700000003E-4</v>
      </c>
      <c r="I183" s="7">
        <v>0.52242073299908198</v>
      </c>
      <c r="J183" s="7">
        <v>2.8783389821981701E-2</v>
      </c>
      <c r="K183" s="8">
        <v>2.7300000000000001E-2</v>
      </c>
      <c r="L183" s="8">
        <v>4.1399999999999999E-2</v>
      </c>
      <c r="M183" s="8">
        <v>1.03E-2</v>
      </c>
      <c r="N183" s="7">
        <v>1.4099999999999998E-2</v>
      </c>
      <c r="O183" s="7">
        <v>6.5000000000000058E-3</v>
      </c>
      <c r="P183" s="7">
        <v>-5.1000000000000004E-3</v>
      </c>
      <c r="Q183" s="7">
        <v>3.3333333333334103E-3</v>
      </c>
      <c r="R183" s="7">
        <v>2.0591999999999999E-2</v>
      </c>
      <c r="S183" s="7">
        <v>2E-3</v>
      </c>
    </row>
    <row r="184" spans="1:19" x14ac:dyDescent="0.3">
      <c r="A184" s="3">
        <v>196203</v>
      </c>
      <c r="B184" s="6">
        <f t="shared" si="4"/>
        <v>-5.8474021031871088E-3</v>
      </c>
      <c r="C184" s="4">
        <f t="shared" si="5"/>
        <v>-5.842E-3</v>
      </c>
      <c r="D184" s="5">
        <v>2.93314162473041E-2</v>
      </c>
      <c r="E184" s="5">
        <v>2.9159519725557463E-2</v>
      </c>
      <c r="F184" s="7">
        <v>4.8454349388928834E-2</v>
      </c>
      <c r="G184" s="7">
        <v>0.60534124629080122</v>
      </c>
      <c r="H184" s="7">
        <v>2.7949214700000001E-4</v>
      </c>
      <c r="I184" s="7">
        <v>0.54572459155527264</v>
      </c>
      <c r="J184" s="7">
        <v>2.4075295489537057E-2</v>
      </c>
      <c r="K184" s="8">
        <v>2.7200000000000002E-2</v>
      </c>
      <c r="L184" s="8">
        <v>3.9800000000000002E-2</v>
      </c>
      <c r="M184" s="8">
        <v>2.53E-2</v>
      </c>
      <c r="N184" s="7">
        <v>1.26E-2</v>
      </c>
      <c r="O184" s="7">
        <v>6.5000000000000058E-3</v>
      </c>
      <c r="P184" s="7">
        <v>-1.0199999999999999E-2</v>
      </c>
      <c r="Q184" s="7">
        <v>0</v>
      </c>
      <c r="R184" s="7">
        <v>-3.8419999999999999E-3</v>
      </c>
      <c r="S184" s="7">
        <v>2E-3</v>
      </c>
    </row>
    <row r="185" spans="1:19" x14ac:dyDescent="0.3">
      <c r="A185" s="3">
        <v>196204</v>
      </c>
      <c r="B185" s="6">
        <f t="shared" si="4"/>
        <v>-6.5928963840216723E-2</v>
      </c>
      <c r="C185" s="4">
        <f t="shared" si="5"/>
        <v>-6.3943E-2</v>
      </c>
      <c r="D185" s="5">
        <v>3.1371397915389336E-2</v>
      </c>
      <c r="E185" s="5">
        <v>2.9427318475916613E-2</v>
      </c>
      <c r="F185" s="7">
        <v>5.2166309012875542E-2</v>
      </c>
      <c r="G185" s="7">
        <v>0.6013727731368983</v>
      </c>
      <c r="H185" s="7">
        <v>1.019690809E-3</v>
      </c>
      <c r="I185" s="7">
        <v>0.57986262456224724</v>
      </c>
      <c r="J185" s="7">
        <v>2.5152065210778445E-2</v>
      </c>
      <c r="K185" s="8">
        <v>2.7300000000000001E-2</v>
      </c>
      <c r="L185" s="8">
        <v>3.9399999999999998E-2</v>
      </c>
      <c r="M185" s="8">
        <v>8.2000000000000007E-3</v>
      </c>
      <c r="N185" s="7">
        <v>1.2099999999999996E-2</v>
      </c>
      <c r="O185" s="7">
        <v>6.8999999999999964E-3</v>
      </c>
      <c r="P185" s="7">
        <v>6.0000000000000001E-3</v>
      </c>
      <c r="Q185" s="7">
        <v>3.3222591362125353E-3</v>
      </c>
      <c r="R185" s="7">
        <v>-6.1742999999999999E-2</v>
      </c>
      <c r="S185" s="7">
        <v>2.2000000000000001E-3</v>
      </c>
    </row>
    <row r="186" spans="1:19" x14ac:dyDescent="0.3">
      <c r="A186" s="3">
        <v>196205</v>
      </c>
      <c r="B186" s="6">
        <f t="shared" si="4"/>
        <v>-8.5612443017981502E-2</v>
      </c>
      <c r="C186" s="4">
        <f t="shared" si="5"/>
        <v>-8.2247000000000001E-2</v>
      </c>
      <c r="D186" s="5">
        <v>3.4434512829112862E-2</v>
      </c>
      <c r="E186" s="5">
        <v>3.1473482526057632E-2</v>
      </c>
      <c r="F186" s="7">
        <v>5.7633238302867679E-2</v>
      </c>
      <c r="G186" s="7">
        <v>0.5974766270837758</v>
      </c>
      <c r="H186" s="7">
        <v>1.0914839126000001E-2</v>
      </c>
      <c r="I186" s="7">
        <v>0.62899439154819359</v>
      </c>
      <c r="J186" s="7">
        <v>2.7722304259389461E-2</v>
      </c>
      <c r="K186" s="8">
        <v>2.69E-2</v>
      </c>
      <c r="L186" s="8">
        <v>3.9300000000000002E-2</v>
      </c>
      <c r="M186" s="8">
        <v>4.5999999999999999E-3</v>
      </c>
      <c r="N186" s="7">
        <v>1.2400000000000001E-2</v>
      </c>
      <c r="O186" s="7">
        <v>7.1999999999999981E-3</v>
      </c>
      <c r="P186" s="7">
        <v>-4.5999999999999999E-3</v>
      </c>
      <c r="Q186" s="7">
        <v>0</v>
      </c>
      <c r="R186" s="7">
        <v>-7.9847000000000001E-2</v>
      </c>
      <c r="S186" s="7">
        <v>2.3999999999999998E-3</v>
      </c>
    </row>
    <row r="187" spans="1:19" x14ac:dyDescent="0.3">
      <c r="A187" s="3">
        <v>196206</v>
      </c>
      <c r="B187" s="6">
        <f t="shared" si="4"/>
        <v>-8.6107050033959562E-2</v>
      </c>
      <c r="C187" s="4">
        <f t="shared" si="5"/>
        <v>-8.2669000000000006E-2</v>
      </c>
      <c r="D187" s="5">
        <v>3.762557077625571E-2</v>
      </c>
      <c r="E187" s="5">
        <v>3.4546369277209457E-2</v>
      </c>
      <c r="F187" s="7">
        <v>6.3378995433789956E-2</v>
      </c>
      <c r="G187" s="7">
        <v>0.59365994236311237</v>
      </c>
      <c r="H187" s="7">
        <v>6.1611301890000005E-3</v>
      </c>
      <c r="I187" s="7">
        <v>0.68735746864310154</v>
      </c>
      <c r="J187" s="7">
        <v>2.6455443418721539E-2</v>
      </c>
      <c r="K187" s="8">
        <v>2.7300000000000001E-2</v>
      </c>
      <c r="L187" s="8">
        <v>4.0099999999999997E-2</v>
      </c>
      <c r="M187" s="8">
        <v>-7.6E-3</v>
      </c>
      <c r="N187" s="7">
        <v>1.2799999999999995E-2</v>
      </c>
      <c r="O187" s="7">
        <v>7.3999999999999899E-3</v>
      </c>
      <c r="P187" s="7">
        <v>5.0000000000000001E-3</v>
      </c>
      <c r="Q187" s="7">
        <v>0</v>
      </c>
      <c r="R187" s="7">
        <v>-8.0669000000000005E-2</v>
      </c>
      <c r="S187" s="7">
        <v>2E-3</v>
      </c>
    </row>
    <row r="188" spans="1:19" x14ac:dyDescent="0.3">
      <c r="A188" s="3">
        <v>196207</v>
      </c>
      <c r="B188" s="6">
        <f t="shared" si="4"/>
        <v>6.0469029778443727E-2</v>
      </c>
      <c r="C188" s="4">
        <f t="shared" si="5"/>
        <v>6.2503000000000003E-2</v>
      </c>
      <c r="D188" s="5">
        <v>3.5491499227202468E-2</v>
      </c>
      <c r="E188" s="5">
        <v>3.7747397260273971E-2</v>
      </c>
      <c r="F188" s="7">
        <v>5.9934741542160407E-2</v>
      </c>
      <c r="G188" s="7">
        <v>0.59216905444126067</v>
      </c>
      <c r="H188" s="7">
        <v>1.8434771641473386E-3</v>
      </c>
      <c r="I188" s="7">
        <v>0.64522602980281984</v>
      </c>
      <c r="J188" s="7">
        <v>3.048582725670396E-2</v>
      </c>
      <c r="K188" s="8">
        <v>2.92E-2</v>
      </c>
      <c r="L188" s="8">
        <v>4.1200000000000001E-2</v>
      </c>
      <c r="M188" s="8">
        <v>-1.09E-2</v>
      </c>
      <c r="N188" s="7">
        <v>1.2E-2</v>
      </c>
      <c r="O188" s="7">
        <v>7.0999999999999952E-3</v>
      </c>
      <c r="P188" s="7">
        <v>9.4000000000000004E-3</v>
      </c>
      <c r="Q188" s="7">
        <v>3.3112582781458233E-3</v>
      </c>
      <c r="R188" s="7">
        <v>6.5202999999999997E-2</v>
      </c>
      <c r="S188" s="7">
        <v>2.7000000000000001E-3</v>
      </c>
    </row>
    <row r="189" spans="1:19" x14ac:dyDescent="0.3">
      <c r="A189" s="3">
        <v>196208</v>
      </c>
      <c r="B189" s="6">
        <f t="shared" si="4"/>
        <v>1.9140205518691965E-2</v>
      </c>
      <c r="C189" s="4">
        <f t="shared" si="5"/>
        <v>1.9369000000000001E-2</v>
      </c>
      <c r="D189" s="5">
        <v>3.5069857916102842E-2</v>
      </c>
      <c r="E189" s="5">
        <v>3.5605873261205567E-2</v>
      </c>
      <c r="F189" s="7">
        <v>5.9370771312584572E-2</v>
      </c>
      <c r="G189" s="7">
        <v>0.59069230769230774</v>
      </c>
      <c r="H189" s="7">
        <v>8.0195193213799349E-4</v>
      </c>
      <c r="I189" s="7">
        <v>0.63331035162021088</v>
      </c>
      <c r="J189" s="7">
        <v>2.9328677549369964E-2</v>
      </c>
      <c r="K189" s="8">
        <v>2.8199999999999999E-2</v>
      </c>
      <c r="L189" s="8">
        <v>4.0099999999999997E-2</v>
      </c>
      <c r="M189" s="8">
        <v>1.8700000000000001E-2</v>
      </c>
      <c r="N189" s="7">
        <v>1.1899999999999997E-2</v>
      </c>
      <c r="O189" s="7">
        <v>7.1000000000000021E-3</v>
      </c>
      <c r="P189" s="7">
        <v>-4.4000000000000011E-3</v>
      </c>
      <c r="Q189" s="7">
        <v>0</v>
      </c>
      <c r="R189" s="7">
        <v>2.1669000000000001E-2</v>
      </c>
      <c r="S189" s="7">
        <v>2.3E-3</v>
      </c>
    </row>
    <row r="190" spans="1:19" x14ac:dyDescent="0.3">
      <c r="A190" s="3">
        <v>196209</v>
      </c>
      <c r="B190" s="6">
        <f t="shared" si="4"/>
        <v>-5.2145552687047035E-2</v>
      </c>
      <c r="C190" s="4">
        <f t="shared" si="5"/>
        <v>-5.0915999999999996E-2</v>
      </c>
      <c r="D190" s="5">
        <v>3.6964634796516793E-2</v>
      </c>
      <c r="E190" s="5">
        <v>3.5182679296346414E-2</v>
      </c>
      <c r="F190" s="7">
        <v>6.2733250399857818E-2</v>
      </c>
      <c r="G190" s="7">
        <v>0.58923512747875362</v>
      </c>
      <c r="H190" s="7">
        <v>1.1769980586619772E-3</v>
      </c>
      <c r="I190" s="7">
        <v>0.66634426059622098</v>
      </c>
      <c r="J190" s="7">
        <v>3.0601603714375633E-2</v>
      </c>
      <c r="K190" s="8">
        <v>2.7799999999999998E-2</v>
      </c>
      <c r="L190" s="8">
        <v>3.9800000000000002E-2</v>
      </c>
      <c r="M190" s="8">
        <v>6.1000000000000004E-3</v>
      </c>
      <c r="N190" s="7">
        <v>1.2000000000000004E-2</v>
      </c>
      <c r="O190" s="7">
        <v>7.1000000000000021E-3</v>
      </c>
      <c r="P190" s="7">
        <v>2.7999999999999995E-3</v>
      </c>
      <c r="Q190" s="7">
        <v>3.3003300330032292E-3</v>
      </c>
      <c r="R190" s="7">
        <v>-4.8815999999999998E-2</v>
      </c>
      <c r="S190" s="7">
        <v>2.0999999999999999E-3</v>
      </c>
    </row>
    <row r="191" spans="1:19" x14ac:dyDescent="0.3">
      <c r="A191" s="3">
        <v>196210</v>
      </c>
      <c r="B191" s="6">
        <f t="shared" si="4"/>
        <v>5.7817571235295852E-3</v>
      </c>
      <c r="C191" s="4">
        <f t="shared" si="5"/>
        <v>5.8129999999999987E-3</v>
      </c>
      <c r="D191" s="5">
        <v>3.7096072186836519E-2</v>
      </c>
      <c r="E191" s="5">
        <v>3.7260885018660032E-2</v>
      </c>
      <c r="F191" s="7">
        <v>6.32814932767162E-2</v>
      </c>
      <c r="G191" s="7">
        <v>0.58620728219265406</v>
      </c>
      <c r="H191" s="7">
        <v>3.4521081501904371E-3</v>
      </c>
      <c r="I191" s="7">
        <v>0.6541533140037642</v>
      </c>
      <c r="J191" s="7">
        <v>2.8094495051318079E-2</v>
      </c>
      <c r="K191" s="8">
        <v>2.7400000000000001E-2</v>
      </c>
      <c r="L191" s="8">
        <v>3.95E-2</v>
      </c>
      <c r="M191" s="8">
        <v>8.3999999999999995E-3</v>
      </c>
      <c r="N191" s="7">
        <v>1.21E-2</v>
      </c>
      <c r="O191" s="7">
        <v>7.0999999999999952E-3</v>
      </c>
      <c r="P191" s="7">
        <v>-1.5999999999999999E-3</v>
      </c>
      <c r="Q191" s="7">
        <v>0</v>
      </c>
      <c r="R191" s="7">
        <v>8.3129999999999992E-3</v>
      </c>
      <c r="S191" s="7">
        <v>2.5000000000000001E-3</v>
      </c>
    </row>
    <row r="192" spans="1:19" x14ac:dyDescent="0.3">
      <c r="A192" s="3">
        <v>196211</v>
      </c>
      <c r="B192" s="6">
        <f t="shared" si="4"/>
        <v>0.10080043367114928</v>
      </c>
      <c r="C192" s="4">
        <f t="shared" si="5"/>
        <v>0.106268</v>
      </c>
      <c r="D192" s="5">
        <v>3.3943623514294891E-2</v>
      </c>
      <c r="E192" s="5">
        <v>3.7390835102618536E-2</v>
      </c>
      <c r="F192" s="7">
        <v>5.8196755541278511E-2</v>
      </c>
      <c r="G192" s="7">
        <v>0.58325628634432958</v>
      </c>
      <c r="H192" s="7">
        <v>1.2747828264660001E-3</v>
      </c>
      <c r="I192" s="7">
        <v>0.59417834591098107</v>
      </c>
      <c r="J192" s="7">
        <v>2.4810431643642886E-2</v>
      </c>
      <c r="K192" s="8">
        <v>2.8300000000000002E-2</v>
      </c>
      <c r="L192" s="8">
        <v>3.9600000000000003E-2</v>
      </c>
      <c r="M192" s="8">
        <v>2.0999999999999999E-3</v>
      </c>
      <c r="N192" s="7">
        <v>1.1300000000000001E-2</v>
      </c>
      <c r="O192" s="7">
        <v>7.0999999999999952E-3</v>
      </c>
      <c r="P192" s="7">
        <v>4.0999999999999995E-3</v>
      </c>
      <c r="Q192" s="7">
        <v>0</v>
      </c>
      <c r="R192" s="7">
        <v>0.108268</v>
      </c>
      <c r="S192" s="7">
        <v>2E-3</v>
      </c>
    </row>
    <row r="193" spans="1:19" x14ac:dyDescent="0.3">
      <c r="A193" s="3">
        <v>196212</v>
      </c>
      <c r="B193" s="6">
        <f t="shared" si="4"/>
        <v>1.3117223472961943E-2</v>
      </c>
      <c r="C193" s="4">
        <f t="shared" si="5"/>
        <v>1.3233999999999999E-2</v>
      </c>
      <c r="D193" s="5">
        <v>3.375594294770206E-2</v>
      </c>
      <c r="E193" s="5">
        <v>3.4211371667202055E-2</v>
      </c>
      <c r="F193" s="7">
        <v>5.8161648177496035E-2</v>
      </c>
      <c r="G193" s="7">
        <v>0.5803814713896458</v>
      </c>
      <c r="H193" s="7">
        <v>5.4388226565595631E-4</v>
      </c>
      <c r="I193" s="7">
        <v>0.5916270510657875</v>
      </c>
      <c r="J193" s="7">
        <v>1.9968021526393473E-2</v>
      </c>
      <c r="K193" s="8">
        <v>2.87E-2</v>
      </c>
      <c r="L193" s="8">
        <v>3.95E-2</v>
      </c>
      <c r="M193" s="8">
        <v>3.5000000000000001E-3</v>
      </c>
      <c r="N193" s="7">
        <v>1.0800000000000001E-2</v>
      </c>
      <c r="O193" s="7">
        <v>6.8000000000000005E-3</v>
      </c>
      <c r="P193" s="7">
        <v>-1.2000000000000001E-3</v>
      </c>
      <c r="Q193" s="7">
        <v>0</v>
      </c>
      <c r="R193" s="7">
        <v>1.5533999999999999E-2</v>
      </c>
      <c r="S193" s="7">
        <v>2.3E-3</v>
      </c>
    </row>
    <row r="194" spans="1:19" x14ac:dyDescent="0.3">
      <c r="A194" s="3">
        <v>196301</v>
      </c>
      <c r="B194" s="6">
        <f t="shared" si="4"/>
        <v>4.6642746711151685E-2</v>
      </c>
      <c r="C194" s="4">
        <f t="shared" si="5"/>
        <v>4.7867E-2</v>
      </c>
      <c r="D194" s="5">
        <v>3.227598187311178E-2</v>
      </c>
      <c r="E194" s="5">
        <v>3.386164817749604E-2</v>
      </c>
      <c r="F194" s="7">
        <v>5.563942598187311E-2</v>
      </c>
      <c r="G194" s="7">
        <v>0.5800919276850024</v>
      </c>
      <c r="H194" s="7">
        <v>6.9976983786493936E-4</v>
      </c>
      <c r="I194" s="7">
        <v>0.56498498938273412</v>
      </c>
      <c r="J194" s="7">
        <v>1.713622242552168E-2</v>
      </c>
      <c r="K194" s="8">
        <v>2.9100000000000001E-2</v>
      </c>
      <c r="L194" s="8">
        <v>3.9800000000000002E-2</v>
      </c>
      <c r="M194" s="8">
        <v>-1E-4</v>
      </c>
      <c r="N194" s="7">
        <v>1.0700000000000001E-2</v>
      </c>
      <c r="O194" s="7">
        <v>7.0000000000000062E-3</v>
      </c>
      <c r="P194" s="7">
        <v>6.0000000000000001E-3</v>
      </c>
      <c r="Q194" s="7">
        <v>0</v>
      </c>
      <c r="R194" s="7">
        <v>5.0367000000000002E-2</v>
      </c>
      <c r="S194" s="7">
        <v>2.5000000000000001E-3</v>
      </c>
    </row>
    <row r="195" spans="1:19" x14ac:dyDescent="0.3">
      <c r="A195" s="3">
        <v>196302</v>
      </c>
      <c r="B195" s="6">
        <f t="shared" ref="B195:B258" si="6">LN(R195+1) - LN(S195+1)</f>
        <v>-2.6783717910817618E-2</v>
      </c>
      <c r="C195" s="4">
        <f t="shared" ref="C195:C258" si="7">R195 - S195</f>
        <v>-2.6488999999999999E-2</v>
      </c>
      <c r="D195" s="5">
        <v>3.3338466324467256E-2</v>
      </c>
      <c r="E195" s="5">
        <v>3.2376586102719034E-2</v>
      </c>
      <c r="F195" s="7">
        <v>5.749992222740706E-2</v>
      </c>
      <c r="G195" s="7">
        <v>0.57980019855707976</v>
      </c>
      <c r="H195" s="7">
        <v>3.921329400086703E-4</v>
      </c>
      <c r="I195" s="7">
        <v>0.58195311792922433</v>
      </c>
      <c r="J195" s="7">
        <v>1.3236746611198202E-2</v>
      </c>
      <c r="K195" s="8">
        <v>2.92E-2</v>
      </c>
      <c r="L195" s="8">
        <v>0.04</v>
      </c>
      <c r="M195" s="8">
        <v>8.0000000000000004E-4</v>
      </c>
      <c r="N195" s="7">
        <v>1.0800000000000001E-2</v>
      </c>
      <c r="O195" s="7">
        <v>6.9999999999999923E-3</v>
      </c>
      <c r="P195" s="7">
        <v>1.5E-3</v>
      </c>
      <c r="Q195" s="7">
        <v>0</v>
      </c>
      <c r="R195" s="7">
        <v>-2.4188999999999999E-2</v>
      </c>
      <c r="S195" s="7">
        <v>2.3E-3</v>
      </c>
    </row>
    <row r="196" spans="1:19" x14ac:dyDescent="0.3">
      <c r="A196" s="3">
        <v>196303</v>
      </c>
      <c r="B196" s="6">
        <f t="shared" si="6"/>
        <v>3.3630438403804468E-2</v>
      </c>
      <c r="C196" s="4">
        <f t="shared" si="7"/>
        <v>3.4281000000000006E-2</v>
      </c>
      <c r="D196" s="5">
        <v>3.229683040408593E-2</v>
      </c>
      <c r="E196" s="5">
        <v>3.3442214963446876E-2</v>
      </c>
      <c r="F196" s="7">
        <v>5.5730809674027347E-2</v>
      </c>
      <c r="G196" s="7">
        <v>0.57951482479784366</v>
      </c>
      <c r="H196" s="7">
        <v>3.599355103179676E-4</v>
      </c>
      <c r="I196" s="7">
        <v>0.58752857059133801</v>
      </c>
      <c r="J196" s="7">
        <v>1.4380137599130628E-2</v>
      </c>
      <c r="K196" s="8">
        <v>2.8900000000000002E-2</v>
      </c>
      <c r="L196" s="8">
        <v>4.0099999999999997E-2</v>
      </c>
      <c r="M196" s="8">
        <v>8.9999999999999998E-4</v>
      </c>
      <c r="N196" s="7">
        <v>1.1199999999999995E-2</v>
      </c>
      <c r="O196" s="7">
        <v>6.8999999999999895E-3</v>
      </c>
      <c r="P196" s="7">
        <v>1.6999999999999999E-3</v>
      </c>
      <c r="Q196" s="7">
        <v>3.2894736842106198E-3</v>
      </c>
      <c r="R196" s="7">
        <v>3.6581000000000002E-2</v>
      </c>
      <c r="S196" s="7">
        <v>2.3E-3</v>
      </c>
    </row>
    <row r="197" spans="1:19" x14ac:dyDescent="0.3">
      <c r="A197" s="3">
        <v>196304</v>
      </c>
      <c r="B197" s="6">
        <f t="shared" si="6"/>
        <v>4.540717720846732E-2</v>
      </c>
      <c r="C197" s="4">
        <f t="shared" si="7"/>
        <v>4.657E-2</v>
      </c>
      <c r="D197" s="5">
        <v>3.1041117478510027E-2</v>
      </c>
      <c r="E197" s="5">
        <v>3.2547243503079464E-2</v>
      </c>
      <c r="F197" s="7">
        <v>5.3772636103151868E-2</v>
      </c>
      <c r="G197" s="7">
        <v>0.57726605441035028</v>
      </c>
      <c r="H197" s="7">
        <v>3.2216038806122231E-4</v>
      </c>
      <c r="I197" s="7">
        <v>0.55872927406994566</v>
      </c>
      <c r="J197" s="7">
        <v>1.5199396339126536E-2</v>
      </c>
      <c r="K197" s="8">
        <v>2.8999999999999998E-2</v>
      </c>
      <c r="L197" s="8">
        <v>4.0500000000000001E-2</v>
      </c>
      <c r="M197" s="8">
        <v>-1.1999999999999999E-3</v>
      </c>
      <c r="N197" s="7">
        <v>1.1500000000000003E-2</v>
      </c>
      <c r="O197" s="7">
        <v>6.6000000000000017E-3</v>
      </c>
      <c r="P197" s="7">
        <v>-3.9000000000000007E-3</v>
      </c>
      <c r="Q197" s="7">
        <v>0</v>
      </c>
      <c r="R197" s="7">
        <v>4.9070000000000003E-2</v>
      </c>
      <c r="S197" s="7">
        <v>2.5000000000000001E-3</v>
      </c>
    </row>
    <row r="198" spans="1:19" x14ac:dyDescent="0.3">
      <c r="A198" s="3">
        <v>196305</v>
      </c>
      <c r="B198" s="6">
        <f t="shared" si="6"/>
        <v>1.7085843767849111E-2</v>
      </c>
      <c r="C198" s="4">
        <f t="shared" si="7"/>
        <v>1.7274000000000001E-2</v>
      </c>
      <c r="D198" s="5">
        <v>3.0837994350282491E-2</v>
      </c>
      <c r="E198" s="5">
        <v>3.1279799426934103E-2</v>
      </c>
      <c r="F198" s="7">
        <v>5.3625282485875711E-2</v>
      </c>
      <c r="G198" s="7">
        <v>0.57506446438589609</v>
      </c>
      <c r="H198" s="7">
        <v>3.0365573267591907E-4</v>
      </c>
      <c r="I198" s="7">
        <v>0.55161219324309452</v>
      </c>
      <c r="J198" s="7">
        <v>1.4648685297754576E-2</v>
      </c>
      <c r="K198" s="8">
        <v>2.9300000000000003E-2</v>
      </c>
      <c r="L198" s="8">
        <v>4.0599999999999997E-2</v>
      </c>
      <c r="M198" s="8">
        <v>2.3E-3</v>
      </c>
      <c r="N198" s="7">
        <v>1.1299999999999994E-2</v>
      </c>
      <c r="O198" s="7">
        <v>6.3E-3</v>
      </c>
      <c r="P198" s="7">
        <v>2.4999999999999996E-3</v>
      </c>
      <c r="Q198" s="7">
        <v>0</v>
      </c>
      <c r="R198" s="7">
        <v>1.9674000000000001E-2</v>
      </c>
      <c r="S198" s="7">
        <v>2.3999999999999998E-3</v>
      </c>
    </row>
    <row r="199" spans="1:19" x14ac:dyDescent="0.3">
      <c r="A199" s="3">
        <v>196306</v>
      </c>
      <c r="B199" s="6">
        <f t="shared" si="6"/>
        <v>-2.1077609150579883E-2</v>
      </c>
      <c r="C199" s="4">
        <f t="shared" si="7"/>
        <v>-2.0905E-2</v>
      </c>
      <c r="D199" s="5">
        <v>3.1713997405218394E-2</v>
      </c>
      <c r="E199" s="5">
        <v>3.1073446327683621E-2</v>
      </c>
      <c r="F199" s="7">
        <v>5.5355340925472098E-2</v>
      </c>
      <c r="G199" s="7">
        <v>0.57291666666666674</v>
      </c>
      <c r="H199" s="7">
        <v>2.6109835325532931E-4</v>
      </c>
      <c r="I199" s="7">
        <v>0.56728157537347212</v>
      </c>
      <c r="J199" s="7">
        <v>1.8263319017388386E-2</v>
      </c>
      <c r="K199" s="8">
        <v>2.9900000000000003E-2</v>
      </c>
      <c r="L199" s="8">
        <v>4.07E-2</v>
      </c>
      <c r="M199" s="8">
        <v>1.9E-3</v>
      </c>
      <c r="N199" s="7">
        <v>1.0799999999999997E-2</v>
      </c>
      <c r="O199" s="7">
        <v>6.0999999999999943E-3</v>
      </c>
      <c r="P199" s="7">
        <v>2.4000000000000002E-3</v>
      </c>
      <c r="Q199" s="7">
        <v>3.2786885245901232E-3</v>
      </c>
      <c r="R199" s="7">
        <v>-1.8605E-2</v>
      </c>
      <c r="S199" s="7">
        <v>2.3E-3</v>
      </c>
    </row>
    <row r="200" spans="1:19" x14ac:dyDescent="0.3">
      <c r="A200" s="3">
        <v>196307</v>
      </c>
      <c r="B200" s="6">
        <f t="shared" si="6"/>
        <v>-4.5190215838324249E-3</v>
      </c>
      <c r="C200" s="4">
        <f t="shared" si="7"/>
        <v>-4.5209999999999998E-3</v>
      </c>
      <c r="D200" s="5">
        <v>3.1872269636915952E-2</v>
      </c>
      <c r="E200" s="5">
        <v>3.1762000864927198E-2</v>
      </c>
      <c r="F200" s="7">
        <v>5.6126139158107914E-2</v>
      </c>
      <c r="G200" s="7">
        <v>0.56786855670103087</v>
      </c>
      <c r="H200" s="7">
        <v>5.2979708157722147E-4</v>
      </c>
      <c r="I200" s="7">
        <v>0.57662165854219694</v>
      </c>
      <c r="J200" s="7">
        <v>9.3189057498695889E-3</v>
      </c>
      <c r="K200" s="8">
        <v>3.1800000000000002E-2</v>
      </c>
      <c r="L200" s="8">
        <v>4.07E-2</v>
      </c>
      <c r="M200" s="8">
        <v>3.0999999999999999E-3</v>
      </c>
      <c r="N200" s="7">
        <v>8.8999999999999982E-3</v>
      </c>
      <c r="O200" s="7">
        <v>5.7999999999999996E-3</v>
      </c>
      <c r="P200" s="7">
        <v>-2.9999999999999992E-4</v>
      </c>
      <c r="Q200" s="7">
        <v>3.2679738562091387E-3</v>
      </c>
      <c r="R200" s="7">
        <v>-1.8209999999999999E-3</v>
      </c>
      <c r="S200" s="7">
        <v>2.7000000000000001E-3</v>
      </c>
    </row>
    <row r="201" spans="1:19" x14ac:dyDescent="0.3">
      <c r="A201" s="3">
        <v>196308</v>
      </c>
      <c r="B201" s="6">
        <f t="shared" si="6"/>
        <v>4.9588800168256918E-2</v>
      </c>
      <c r="C201" s="4">
        <f t="shared" si="7"/>
        <v>5.0965999999999997E-2</v>
      </c>
      <c r="D201" s="5">
        <v>3.0436827586206895E-2</v>
      </c>
      <c r="E201" s="5">
        <v>3.1920584406191235E-2</v>
      </c>
      <c r="F201" s="7">
        <v>5.4068965517241378E-2</v>
      </c>
      <c r="G201" s="7">
        <v>0.56292602040816331</v>
      </c>
      <c r="H201" s="7">
        <v>3.2690862003066981E-4</v>
      </c>
      <c r="I201" s="7">
        <v>0.54982723632973174</v>
      </c>
      <c r="J201" s="7">
        <v>9.5202408738462117E-3</v>
      </c>
      <c r="K201" s="8">
        <v>3.32E-2</v>
      </c>
      <c r="L201" s="8">
        <v>4.0800000000000003E-2</v>
      </c>
      <c r="M201" s="8">
        <v>2.0999999999999999E-3</v>
      </c>
      <c r="N201" s="7">
        <v>7.6000000000000026E-3</v>
      </c>
      <c r="O201" s="7">
        <v>5.400000000000002E-3</v>
      </c>
      <c r="P201" s="7">
        <v>1.4000000000000002E-3</v>
      </c>
      <c r="Q201" s="7">
        <v>0</v>
      </c>
      <c r="R201" s="7">
        <v>5.3466E-2</v>
      </c>
      <c r="S201" s="7">
        <v>2.5000000000000001E-3</v>
      </c>
    </row>
    <row r="202" spans="1:19" x14ac:dyDescent="0.3">
      <c r="A202" s="3">
        <v>196309</v>
      </c>
      <c r="B202" s="6">
        <f t="shared" si="6"/>
        <v>-1.3152840472237096E-2</v>
      </c>
      <c r="C202" s="4">
        <f t="shared" si="7"/>
        <v>-1.3101999999999999E-2</v>
      </c>
      <c r="D202" s="5">
        <v>3.0822873082287306E-2</v>
      </c>
      <c r="E202" s="5">
        <v>3.0482758620689655E-2</v>
      </c>
      <c r="F202" s="7">
        <v>5.5230125523012548E-2</v>
      </c>
      <c r="G202" s="7">
        <v>0.55808080808080807</v>
      </c>
      <c r="H202" s="7">
        <v>3.2991026701585099E-4</v>
      </c>
      <c r="I202" s="7">
        <v>0.54722362477653896</v>
      </c>
      <c r="J202" s="7">
        <v>1.031341287818378E-2</v>
      </c>
      <c r="K202" s="8">
        <v>3.3799999999999997E-2</v>
      </c>
      <c r="L202" s="8">
        <v>4.1000000000000002E-2</v>
      </c>
      <c r="M202" s="8">
        <v>4.0000000000000002E-4</v>
      </c>
      <c r="N202" s="7">
        <v>7.200000000000005E-3</v>
      </c>
      <c r="O202" s="7">
        <v>5.2999999999999992E-3</v>
      </c>
      <c r="P202" s="7">
        <v>-2.7000000000000001E-3</v>
      </c>
      <c r="Q202" s="7">
        <v>0</v>
      </c>
      <c r="R202" s="7">
        <v>-1.0402E-2</v>
      </c>
      <c r="S202" s="7">
        <v>2.7000000000000001E-3</v>
      </c>
    </row>
    <row r="203" spans="1:19" x14ac:dyDescent="0.3">
      <c r="A203" s="3">
        <v>196310</v>
      </c>
      <c r="B203" s="6">
        <f t="shared" si="6"/>
        <v>3.1336527183709079E-2</v>
      </c>
      <c r="C203" s="4">
        <f t="shared" si="7"/>
        <v>3.1925000000000002E-2</v>
      </c>
      <c r="D203" s="5">
        <v>3.0176057289555466E-2</v>
      </c>
      <c r="E203" s="5">
        <v>3.1148256624825663E-2</v>
      </c>
      <c r="F203" s="7">
        <v>5.3776516686934193E-2</v>
      </c>
      <c r="G203" s="7">
        <v>0.56113819095477391</v>
      </c>
      <c r="H203" s="7">
        <v>5.0353190498554992E-4</v>
      </c>
      <c r="I203" s="7">
        <v>0.53096407716854466</v>
      </c>
      <c r="J203" s="7">
        <v>1.0280218321743492E-2</v>
      </c>
      <c r="K203" s="8">
        <v>3.4500000000000003E-2</v>
      </c>
      <c r="L203" s="8">
        <v>4.1500000000000002E-2</v>
      </c>
      <c r="M203" s="8">
        <v>-2.5999999999999999E-3</v>
      </c>
      <c r="N203" s="7">
        <v>6.9999999999999993E-3</v>
      </c>
      <c r="O203" s="7">
        <v>5.1000000000000004E-3</v>
      </c>
      <c r="P203" s="7">
        <v>7.4999999999999997E-3</v>
      </c>
      <c r="Q203" s="7">
        <v>3.2573289902280145E-3</v>
      </c>
      <c r="R203" s="7">
        <v>3.4825000000000002E-2</v>
      </c>
      <c r="S203" s="7">
        <v>2.8999999999999998E-3</v>
      </c>
    </row>
    <row r="204" spans="1:19" x14ac:dyDescent="0.3">
      <c r="A204" s="3">
        <v>196311</v>
      </c>
      <c r="B204" s="6">
        <f t="shared" si="6"/>
        <v>-7.1934583464535644E-3</v>
      </c>
      <c r="C204" s="4">
        <f t="shared" si="7"/>
        <v>-7.1869999999999998E-3</v>
      </c>
      <c r="D204" s="5">
        <v>3.0816195548272567E-2</v>
      </c>
      <c r="E204" s="5">
        <v>3.049142007836779E-2</v>
      </c>
      <c r="F204" s="7">
        <v>5.4622422504438072E-2</v>
      </c>
      <c r="G204" s="7">
        <v>0.56416750000000004</v>
      </c>
      <c r="H204" s="7">
        <v>3.1101656618420489E-3</v>
      </c>
      <c r="I204" s="7">
        <v>0.53429622128657461</v>
      </c>
      <c r="J204" s="7">
        <v>6.012878052792053E-3</v>
      </c>
      <c r="K204" s="8">
        <v>3.5200000000000002E-2</v>
      </c>
      <c r="L204" s="8">
        <v>4.1399999999999999E-2</v>
      </c>
      <c r="M204" s="8">
        <v>5.1000000000000004E-3</v>
      </c>
      <c r="N204" s="7">
        <v>6.1999999999999972E-3</v>
      </c>
      <c r="O204" s="7">
        <v>5.1000000000000004E-3</v>
      </c>
      <c r="P204" s="7">
        <v>-3.6000000000000003E-3</v>
      </c>
      <c r="Q204" s="7">
        <v>0</v>
      </c>
      <c r="R204" s="7">
        <v>-4.4869999999999997E-3</v>
      </c>
      <c r="S204" s="7">
        <v>2.7000000000000001E-3</v>
      </c>
    </row>
    <row r="205" spans="1:19" x14ac:dyDescent="0.3">
      <c r="A205" s="3">
        <v>196312</v>
      </c>
      <c r="B205" s="6">
        <f t="shared" si="6"/>
        <v>2.2835294456357489E-2</v>
      </c>
      <c r="C205" s="4">
        <f t="shared" si="7"/>
        <v>2.3165000000000002E-2</v>
      </c>
      <c r="D205" s="5">
        <v>3.039189549453479E-2</v>
      </c>
      <c r="E205" s="5">
        <v>3.1134780827529695E-2</v>
      </c>
      <c r="F205" s="7">
        <v>5.3585710477206075E-2</v>
      </c>
      <c r="G205" s="7">
        <v>0.56716417910447758</v>
      </c>
      <c r="H205" s="7">
        <v>2.7356667626276583E-4</v>
      </c>
      <c r="I205" s="7">
        <v>0.52559145422373676</v>
      </c>
      <c r="J205" s="7">
        <v>8.9547749059595144E-3</v>
      </c>
      <c r="K205" s="8">
        <v>3.5200000000000002E-2</v>
      </c>
      <c r="L205" s="8">
        <v>4.1700000000000001E-2</v>
      </c>
      <c r="M205" s="8">
        <v>-5.9999999999999995E-4</v>
      </c>
      <c r="N205" s="7">
        <v>6.4999999999999988E-3</v>
      </c>
      <c r="O205" s="7">
        <v>4.9999999999999975E-3</v>
      </c>
      <c r="P205" s="7">
        <v>-2.8E-3</v>
      </c>
      <c r="Q205" s="7">
        <v>3.2467532467532756E-3</v>
      </c>
      <c r="R205" s="7">
        <v>2.6065000000000001E-2</v>
      </c>
      <c r="S205" s="7">
        <v>2.8999999999999998E-3</v>
      </c>
    </row>
    <row r="206" spans="1:19" x14ac:dyDescent="0.3">
      <c r="A206" s="3">
        <v>196401</v>
      </c>
      <c r="B206" s="6">
        <f t="shared" si="6"/>
        <v>2.4027070056223121E-2</v>
      </c>
      <c r="C206" s="4">
        <f t="shared" si="7"/>
        <v>2.4390999999999999E-2</v>
      </c>
      <c r="D206" s="5">
        <v>2.9811396677050885E-2</v>
      </c>
      <c r="E206" s="5">
        <v>3.0614102905891765E-2</v>
      </c>
      <c r="F206" s="7">
        <v>5.2872923156801664E-2</v>
      </c>
      <c r="G206" s="7">
        <v>0.56383106696486662</v>
      </c>
      <c r="H206" s="7">
        <v>1.8334111050720509E-4</v>
      </c>
      <c r="I206" s="7">
        <v>0.51060687090941503</v>
      </c>
      <c r="J206" s="7">
        <v>1.4293616927277712E-2</v>
      </c>
      <c r="K206" s="8">
        <v>3.5200000000000002E-2</v>
      </c>
      <c r="L206" s="8">
        <v>4.2099999999999999E-2</v>
      </c>
      <c r="M206" s="8">
        <v>-1.4E-3</v>
      </c>
      <c r="N206" s="7">
        <v>6.8999999999999964E-3</v>
      </c>
      <c r="O206" s="7">
        <v>4.4000000000000081E-3</v>
      </c>
      <c r="P206" s="7">
        <v>1.01E-2</v>
      </c>
      <c r="Q206" s="7">
        <v>0</v>
      </c>
      <c r="R206" s="7">
        <v>2.7390999999999999E-2</v>
      </c>
      <c r="S206" s="7">
        <v>3.0000000000000001E-3</v>
      </c>
    </row>
    <row r="207" spans="1:19" x14ac:dyDescent="0.3">
      <c r="A207" s="3">
        <v>196402</v>
      </c>
      <c r="B207" s="6">
        <f t="shared" si="6"/>
        <v>1.4275240372924559E-2</v>
      </c>
      <c r="C207" s="4">
        <f t="shared" si="7"/>
        <v>1.4414999999999999E-2</v>
      </c>
      <c r="D207" s="5">
        <v>2.9734318766066841E-2</v>
      </c>
      <c r="E207" s="5">
        <v>3.0027647975077881E-2</v>
      </c>
      <c r="F207" s="7">
        <v>5.304203084832905E-2</v>
      </c>
      <c r="G207" s="7">
        <v>0.56058032263301893</v>
      </c>
      <c r="H207" s="7">
        <v>7.1699547467270376E-5</v>
      </c>
      <c r="I207" s="7">
        <v>0.5011622965980953</v>
      </c>
      <c r="J207" s="7">
        <v>1.7407960961420089E-2</v>
      </c>
      <c r="K207" s="8">
        <v>3.5299999999999998E-2</v>
      </c>
      <c r="L207" s="8">
        <v>4.24E-2</v>
      </c>
      <c r="M207" s="8">
        <v>-1.1000000000000001E-3</v>
      </c>
      <c r="N207" s="7">
        <v>7.1000000000000021E-3</v>
      </c>
      <c r="O207" s="7">
        <v>4.7000000000000028E-3</v>
      </c>
      <c r="P207" s="7">
        <v>6.5000000000000006E-3</v>
      </c>
      <c r="Q207" s="7">
        <v>0</v>
      </c>
      <c r="R207" s="7">
        <v>1.7014999999999999E-2</v>
      </c>
      <c r="S207" s="7">
        <v>2.5999999999999999E-3</v>
      </c>
    </row>
    <row r="208" spans="1:19" x14ac:dyDescent="0.3">
      <c r="A208" s="3">
        <v>196403</v>
      </c>
      <c r="B208" s="6">
        <f t="shared" si="6"/>
        <v>1.3990008070506869E-2</v>
      </c>
      <c r="C208" s="4">
        <f t="shared" si="7"/>
        <v>1.4132E-2</v>
      </c>
      <c r="D208" s="5">
        <v>2.9501139528994681E-2</v>
      </c>
      <c r="E208" s="5">
        <v>2.9948586118251928E-2</v>
      </c>
      <c r="F208" s="7">
        <v>5.2924791086350967E-2</v>
      </c>
      <c r="G208" s="7">
        <v>0.55741626794258381</v>
      </c>
      <c r="H208" s="7">
        <v>1.1471138055620209E-4</v>
      </c>
      <c r="I208" s="7">
        <v>0.52367544172435421</v>
      </c>
      <c r="J208" s="7">
        <v>1.7783275215299963E-2</v>
      </c>
      <c r="K208" s="8">
        <v>3.5400000000000001E-2</v>
      </c>
      <c r="L208" s="8">
        <v>4.24E-2</v>
      </c>
      <c r="M208" s="8">
        <v>3.7000000000000002E-3</v>
      </c>
      <c r="N208" s="7">
        <v>6.9999999999999993E-3</v>
      </c>
      <c r="O208" s="7">
        <v>4.500000000000004E-3</v>
      </c>
      <c r="P208" s="7">
        <v>-9.8999999999999991E-3</v>
      </c>
      <c r="Q208" s="7">
        <v>0</v>
      </c>
      <c r="R208" s="7">
        <v>1.7232000000000001E-2</v>
      </c>
      <c r="S208" s="7">
        <v>3.0999999999999999E-3</v>
      </c>
    </row>
    <row r="209" spans="1:19" x14ac:dyDescent="0.3">
      <c r="A209" s="3">
        <v>196404</v>
      </c>
      <c r="B209" s="6">
        <f t="shared" si="6"/>
        <v>3.2771052258234712E-3</v>
      </c>
      <c r="C209" s="4">
        <f t="shared" si="7"/>
        <v>3.2919999999999998E-3</v>
      </c>
      <c r="D209" s="5">
        <v>2.9532720865844454E-2</v>
      </c>
      <c r="E209" s="5">
        <v>2.9712205621676372E-2</v>
      </c>
      <c r="F209" s="7">
        <v>5.323433173923988E-2</v>
      </c>
      <c r="G209" s="7">
        <v>0.55476832151300237</v>
      </c>
      <c r="H209" s="7">
        <v>2.5475515225983306E-4</v>
      </c>
      <c r="I209" s="7">
        <v>0.52530310692304849</v>
      </c>
      <c r="J209" s="7">
        <v>2.0767988616043988E-2</v>
      </c>
      <c r="K209" s="8">
        <v>3.4700000000000002E-2</v>
      </c>
      <c r="L209" s="8">
        <v>4.2299999999999997E-2</v>
      </c>
      <c r="M209" s="8">
        <v>4.7000000000000002E-3</v>
      </c>
      <c r="N209" s="7">
        <v>7.5999999999999956E-3</v>
      </c>
      <c r="O209" s="7">
        <v>4.4999999999999901E-3</v>
      </c>
      <c r="P209" s="7">
        <v>-7.000000000000001E-4</v>
      </c>
      <c r="Q209" s="7">
        <v>0</v>
      </c>
      <c r="R209" s="7">
        <v>6.1919999999999996E-3</v>
      </c>
      <c r="S209" s="7">
        <v>2.8999999999999998E-3</v>
      </c>
    </row>
    <row r="210" spans="1:19" x14ac:dyDescent="0.3">
      <c r="A210" s="3">
        <v>196405</v>
      </c>
      <c r="B210" s="6">
        <f t="shared" si="6"/>
        <v>1.4078567100679925E-2</v>
      </c>
      <c r="C210" s="4">
        <f t="shared" si="7"/>
        <v>1.4215E-2</v>
      </c>
      <c r="D210" s="5">
        <v>2.9405623989050639E-2</v>
      </c>
      <c r="E210" s="5">
        <v>2.9742386106216965E-2</v>
      </c>
      <c r="F210" s="7">
        <v>5.3253701629961431E-2</v>
      </c>
      <c r="G210" s="7">
        <v>0.55217990654205606</v>
      </c>
      <c r="H210" s="7">
        <v>2.2577711719403738E-4</v>
      </c>
      <c r="I210" s="7">
        <v>0.51903578044262455</v>
      </c>
      <c r="J210" s="7">
        <v>2.117914509687524E-2</v>
      </c>
      <c r="K210" s="8">
        <v>3.4799999999999998E-2</v>
      </c>
      <c r="L210" s="8">
        <v>4.2200000000000001E-2</v>
      </c>
      <c r="M210" s="8">
        <v>5.0000000000000001E-3</v>
      </c>
      <c r="N210" s="7">
        <v>7.4000000000000038E-3</v>
      </c>
      <c r="O210" s="7">
        <v>4.3999999999999942E-3</v>
      </c>
      <c r="P210" s="7">
        <v>7.000000000000001E-4</v>
      </c>
      <c r="Q210" s="7">
        <v>0</v>
      </c>
      <c r="R210" s="7">
        <v>1.6815E-2</v>
      </c>
      <c r="S210" s="7">
        <v>2.5999999999999999E-3</v>
      </c>
    </row>
    <row r="211" spans="1:19" x14ac:dyDescent="0.3">
      <c r="A211" s="3">
        <v>196406</v>
      </c>
      <c r="B211" s="6">
        <f t="shared" si="6"/>
        <v>1.4926920479153217E-2</v>
      </c>
      <c r="C211" s="4">
        <f t="shared" si="7"/>
        <v>1.5084E-2</v>
      </c>
      <c r="D211" s="5">
        <v>2.913453299057412E-2</v>
      </c>
      <c r="E211" s="5">
        <v>2.9613039691427145E-2</v>
      </c>
      <c r="F211" s="7">
        <v>5.3005263802178973E-2</v>
      </c>
      <c r="G211" s="7">
        <v>0.54965357967667439</v>
      </c>
      <c r="H211" s="7">
        <v>3.9785086856362987E-4</v>
      </c>
      <c r="I211" s="7">
        <v>0.51220685508117858</v>
      </c>
      <c r="J211" s="7">
        <v>2.0502810483883145E-2</v>
      </c>
      <c r="K211" s="8">
        <v>3.4799999999999998E-2</v>
      </c>
      <c r="L211" s="8">
        <v>4.19E-2</v>
      </c>
      <c r="M211" s="8">
        <v>6.8999999999999999E-3</v>
      </c>
      <c r="N211" s="7">
        <v>7.1000000000000021E-3</v>
      </c>
      <c r="O211" s="7">
        <v>4.3999999999999942E-3</v>
      </c>
      <c r="P211" s="7">
        <v>-2.1000000000000003E-3</v>
      </c>
      <c r="Q211" s="7">
        <v>3.2362459546926292E-3</v>
      </c>
      <c r="R211" s="7">
        <v>1.8083999999999999E-2</v>
      </c>
      <c r="S211" s="7">
        <v>3.0000000000000001E-3</v>
      </c>
    </row>
    <row r="212" spans="1:19" x14ac:dyDescent="0.3">
      <c r="A212" s="3">
        <v>196407</v>
      </c>
      <c r="B212" s="6">
        <f t="shared" si="6"/>
        <v>1.5737919475981889E-2</v>
      </c>
      <c r="C212" s="4">
        <f t="shared" si="7"/>
        <v>1.5910000000000001E-2</v>
      </c>
      <c r="D212" s="5">
        <v>2.8853089685020435E-2</v>
      </c>
      <c r="E212" s="5">
        <v>2.9379360998898273E-2</v>
      </c>
      <c r="F212" s="7">
        <v>5.2616855013224328E-2</v>
      </c>
      <c r="G212" s="7">
        <v>0.54836211091994602</v>
      </c>
      <c r="H212" s="7">
        <v>1.989066578310932E-4</v>
      </c>
      <c r="I212" s="7">
        <v>0.50636071810724048</v>
      </c>
      <c r="J212" s="7">
        <v>2.131252930934855E-2</v>
      </c>
      <c r="K212" s="8">
        <v>3.4599999999999999E-2</v>
      </c>
      <c r="L212" s="8">
        <v>4.2099999999999999E-2</v>
      </c>
      <c r="M212" s="8">
        <v>8.0000000000000004E-4</v>
      </c>
      <c r="N212" s="7">
        <v>7.4999999999999997E-3</v>
      </c>
      <c r="O212" s="7">
        <v>4.2999999999999983E-3</v>
      </c>
      <c r="P212" s="7">
        <v>4.3999999999999994E-3</v>
      </c>
      <c r="Q212" s="7">
        <v>3.225806451612856E-3</v>
      </c>
      <c r="R212" s="7">
        <v>1.891E-2</v>
      </c>
      <c r="S212" s="7">
        <v>3.0000000000000001E-3</v>
      </c>
    </row>
    <row r="213" spans="1:19" x14ac:dyDescent="0.3">
      <c r="A213" s="3">
        <v>196408</v>
      </c>
      <c r="B213" s="6">
        <f t="shared" si="6"/>
        <v>-1.4485138854315942E-2</v>
      </c>
      <c r="C213" s="4">
        <f t="shared" si="7"/>
        <v>-1.4421E-2</v>
      </c>
      <c r="D213" s="5">
        <v>2.9573506049126237E-2</v>
      </c>
      <c r="E213" s="5">
        <v>2.9093532099062271E-2</v>
      </c>
      <c r="F213" s="7">
        <v>5.4055114261273372E-2</v>
      </c>
      <c r="G213" s="7">
        <v>0.54709913119753673</v>
      </c>
      <c r="H213" s="7">
        <v>4.2592625682035353E-4</v>
      </c>
      <c r="I213" s="7">
        <v>0.50794294437553666</v>
      </c>
      <c r="J213" s="7">
        <v>2.0696510843525303E-2</v>
      </c>
      <c r="K213" s="8">
        <v>3.5000000000000003E-2</v>
      </c>
      <c r="L213" s="8">
        <v>4.2299999999999997E-2</v>
      </c>
      <c r="M213" s="8">
        <v>2E-3</v>
      </c>
      <c r="N213" s="7">
        <v>7.299999999999994E-3</v>
      </c>
      <c r="O213" s="7">
        <v>4.0999999999999995E-3</v>
      </c>
      <c r="P213" s="7">
        <v>1.7000000000000001E-3</v>
      </c>
      <c r="Q213" s="7">
        <v>-3.2154340836013651E-3</v>
      </c>
      <c r="R213" s="7">
        <v>-1.1620999999999999E-2</v>
      </c>
      <c r="S213" s="7">
        <v>2.8000000000000004E-3</v>
      </c>
    </row>
    <row r="214" spans="1:19" x14ac:dyDescent="0.3">
      <c r="A214" s="3">
        <v>196409</v>
      </c>
      <c r="B214" s="6">
        <f t="shared" si="6"/>
        <v>2.7150018568585649E-2</v>
      </c>
      <c r="C214" s="4">
        <f t="shared" si="7"/>
        <v>2.7598999999999999E-2</v>
      </c>
      <c r="D214" s="5">
        <v>2.8985507246376808E-2</v>
      </c>
      <c r="E214" s="5">
        <v>2.9817915190028108E-2</v>
      </c>
      <c r="F214" s="7">
        <v>5.3100498930862432E-2</v>
      </c>
      <c r="G214" s="7">
        <v>0.54586129753914991</v>
      </c>
      <c r="H214" s="7">
        <v>1.7049742327560072E-4</v>
      </c>
      <c r="I214" s="7">
        <v>0.48653712144578859</v>
      </c>
      <c r="J214" s="7">
        <v>2.0402970906003747E-2</v>
      </c>
      <c r="K214" s="8">
        <v>3.5299999999999998E-2</v>
      </c>
      <c r="L214" s="8">
        <v>4.2099999999999999E-2</v>
      </c>
      <c r="M214" s="8">
        <v>5.0000000000000001E-3</v>
      </c>
      <c r="N214" s="7">
        <v>6.8000000000000005E-3</v>
      </c>
      <c r="O214" s="7">
        <v>4.0000000000000036E-3</v>
      </c>
      <c r="P214" s="7">
        <v>-2.9000000000000002E-3</v>
      </c>
      <c r="Q214" s="7">
        <v>3.225806451612856E-3</v>
      </c>
      <c r="R214" s="7">
        <v>3.0398999999999999E-2</v>
      </c>
      <c r="S214" s="7">
        <v>2.8000000000000004E-3</v>
      </c>
    </row>
    <row r="215" spans="1:19" x14ac:dyDescent="0.3">
      <c r="A215" s="3">
        <v>196410</v>
      </c>
      <c r="B215" s="6">
        <f t="shared" si="6"/>
        <v>5.8111808482199621E-3</v>
      </c>
      <c r="C215" s="4">
        <f t="shared" si="7"/>
        <v>5.8449999999999995E-3</v>
      </c>
      <c r="D215" s="5">
        <v>2.8988922931887814E-2</v>
      </c>
      <c r="E215" s="5">
        <v>2.9223093371347111E-2</v>
      </c>
      <c r="F215" s="7">
        <v>5.2989276455338206E-2</v>
      </c>
      <c r="G215" s="7">
        <v>0.54707149957635315</v>
      </c>
      <c r="H215" s="7">
        <v>1.8704386666130088E-4</v>
      </c>
      <c r="I215" s="7">
        <v>0.48781325880789844</v>
      </c>
      <c r="J215" s="7">
        <v>2.0115530804322972E-2</v>
      </c>
      <c r="K215" s="8">
        <v>3.5699999999999996E-2</v>
      </c>
      <c r="L215" s="8">
        <v>4.2099999999999999E-2</v>
      </c>
      <c r="M215" s="8">
        <v>4.3E-3</v>
      </c>
      <c r="N215" s="7">
        <v>6.4000000000000029E-3</v>
      </c>
      <c r="O215" s="7">
        <v>3.9000000000000007E-3</v>
      </c>
      <c r="P215" s="7">
        <v>7.000000000000001E-4</v>
      </c>
      <c r="Q215" s="7">
        <v>0</v>
      </c>
      <c r="R215" s="7">
        <v>8.7449999999999993E-3</v>
      </c>
      <c r="S215" s="7">
        <v>2.8999999999999998E-3</v>
      </c>
    </row>
    <row r="216" spans="1:19" x14ac:dyDescent="0.3">
      <c r="A216" s="3">
        <v>196411</v>
      </c>
      <c r="B216" s="6">
        <f t="shared" si="6"/>
        <v>-1.2990785554338911E-3</v>
      </c>
      <c r="C216" s="4">
        <f t="shared" si="7"/>
        <v>-1.3019999999999998E-3</v>
      </c>
      <c r="D216" s="5">
        <v>2.937692489931296E-2</v>
      </c>
      <c r="E216" s="5">
        <v>2.9224605232147066E-2</v>
      </c>
      <c r="F216" s="7">
        <v>5.3581260364842447E-2</v>
      </c>
      <c r="G216" s="7">
        <v>0.54826864279192544</v>
      </c>
      <c r="H216" s="7">
        <v>2.1286585460055077E-4</v>
      </c>
      <c r="I216" s="7">
        <v>0.48650377528757299</v>
      </c>
      <c r="J216" s="7">
        <v>1.9167099212903011E-2</v>
      </c>
      <c r="K216" s="8">
        <v>3.6400000000000002E-2</v>
      </c>
      <c r="L216" s="8">
        <v>4.2200000000000001E-2</v>
      </c>
      <c r="M216" s="8">
        <v>1.6999999999999999E-3</v>
      </c>
      <c r="N216" s="7">
        <v>5.7999999999999996E-3</v>
      </c>
      <c r="O216" s="7">
        <v>3.7999999999999978E-3</v>
      </c>
      <c r="P216" s="7">
        <v>-2.0999999999999999E-3</v>
      </c>
      <c r="Q216" s="7">
        <v>3.215434083601254E-3</v>
      </c>
      <c r="R216" s="7">
        <v>1.598E-3</v>
      </c>
      <c r="S216" s="7">
        <v>2.8999999999999998E-3</v>
      </c>
    </row>
    <row r="217" spans="1:19" x14ac:dyDescent="0.3">
      <c r="A217" s="3">
        <v>196412</v>
      </c>
      <c r="B217" s="6">
        <f t="shared" si="6"/>
        <v>2.1191765452533164E-3</v>
      </c>
      <c r="C217" s="4">
        <f t="shared" si="7"/>
        <v>2.1280000000000001E-3</v>
      </c>
      <c r="D217" s="5">
        <v>2.9498525073746312E-2</v>
      </c>
      <c r="E217" s="5">
        <v>2.9613835583984838E-2</v>
      </c>
      <c r="F217" s="7">
        <v>5.3687315634218288E-2</v>
      </c>
      <c r="G217" s="7">
        <v>0.5494505494505495</v>
      </c>
      <c r="H217" s="7">
        <v>3.5121328582127888E-4</v>
      </c>
      <c r="I217" s="7">
        <v>0.48722730028714262</v>
      </c>
      <c r="J217" s="7">
        <v>2.3095316648542911E-2</v>
      </c>
      <c r="K217" s="8">
        <v>3.8399999999999997E-2</v>
      </c>
      <c r="L217" s="8">
        <v>4.2299999999999997E-2</v>
      </c>
      <c r="M217" s="8">
        <v>3.0000000000000001E-3</v>
      </c>
      <c r="N217" s="7">
        <v>3.9000000000000007E-3</v>
      </c>
      <c r="O217" s="7">
        <v>3.699999999999995E-3</v>
      </c>
      <c r="P217" s="7">
        <v>5.8000000000000005E-3</v>
      </c>
      <c r="Q217" s="7">
        <v>0</v>
      </c>
      <c r="R217" s="7">
        <v>5.228E-3</v>
      </c>
      <c r="S217" s="7">
        <v>3.0999999999999999E-3</v>
      </c>
    </row>
    <row r="218" spans="1:19" x14ac:dyDescent="0.3">
      <c r="A218" s="3">
        <v>196501</v>
      </c>
      <c r="B218" s="6">
        <f t="shared" si="6"/>
        <v>3.1403386657095883E-2</v>
      </c>
      <c r="C218" s="4">
        <f t="shared" si="7"/>
        <v>3.1991000000000006E-2</v>
      </c>
      <c r="D218" s="5">
        <v>2.8742233896756508E-2</v>
      </c>
      <c r="E218" s="5">
        <v>2.9695221238938054E-2</v>
      </c>
      <c r="F218" s="7">
        <v>5.2459227957971671E-2</v>
      </c>
      <c r="G218" s="7">
        <v>0.54789662401786943</v>
      </c>
      <c r="H218" s="7">
        <v>1.6581280118521305E-4</v>
      </c>
      <c r="I218" s="7">
        <v>0.47172319074939634</v>
      </c>
      <c r="J218" s="7">
        <v>1.7903746610819619E-2</v>
      </c>
      <c r="K218" s="8">
        <v>3.8100000000000002E-2</v>
      </c>
      <c r="L218" s="8">
        <v>4.2200000000000001E-2</v>
      </c>
      <c r="M218" s="8">
        <v>4.0000000000000001E-3</v>
      </c>
      <c r="N218" s="7">
        <v>4.0999999999999995E-3</v>
      </c>
      <c r="O218" s="7">
        <v>3.7000000000000019E-3</v>
      </c>
      <c r="P218" s="7">
        <v>4.0999999999999995E-3</v>
      </c>
      <c r="Q218" s="7">
        <v>0</v>
      </c>
      <c r="R218" s="7">
        <v>3.4791000000000002E-2</v>
      </c>
      <c r="S218" s="7">
        <v>2.8000000000000004E-3</v>
      </c>
    </row>
    <row r="219" spans="1:19" x14ac:dyDescent="0.3">
      <c r="A219" s="3">
        <v>196502</v>
      </c>
      <c r="B219" s="6">
        <f t="shared" si="6"/>
        <v>7.4349223505582561E-4</v>
      </c>
      <c r="C219" s="4">
        <f t="shared" si="7"/>
        <v>7.4600000000000014E-4</v>
      </c>
      <c r="D219" s="5">
        <v>2.8975523275763464E-2</v>
      </c>
      <c r="E219" s="5">
        <v>2.8932503426222018E-2</v>
      </c>
      <c r="F219" s="7">
        <v>5.3032940638224856E-2</v>
      </c>
      <c r="G219" s="7">
        <v>0.54636840663665953</v>
      </c>
      <c r="H219" s="7">
        <v>3.9319654763327939E-4</v>
      </c>
      <c r="I219" s="7">
        <v>0.47139947757559653</v>
      </c>
      <c r="J219" s="7">
        <v>1.4823216409768152E-2</v>
      </c>
      <c r="K219" s="8">
        <v>3.9300000000000002E-2</v>
      </c>
      <c r="L219" s="8">
        <v>4.24E-2</v>
      </c>
      <c r="M219" s="8">
        <v>1.4E-3</v>
      </c>
      <c r="N219" s="7">
        <v>3.0999999999999986E-3</v>
      </c>
      <c r="O219" s="7">
        <v>3.7000000000000019E-3</v>
      </c>
      <c r="P219" s="7">
        <v>-5.0000000000000001E-4</v>
      </c>
      <c r="Q219" s="7">
        <v>0</v>
      </c>
      <c r="R219" s="7">
        <v>3.7460000000000002E-3</v>
      </c>
      <c r="S219" s="7">
        <v>3.0000000000000001E-3</v>
      </c>
    </row>
    <row r="220" spans="1:19" x14ac:dyDescent="0.3">
      <c r="A220" s="3">
        <v>196503</v>
      </c>
      <c r="B220" s="6">
        <f t="shared" si="6"/>
        <v>-1.5881727031161325E-2</v>
      </c>
      <c r="C220" s="4">
        <f t="shared" si="7"/>
        <v>-1.5813000000000001E-2</v>
      </c>
      <c r="D220" s="5">
        <v>2.9596100278551533E-2</v>
      </c>
      <c r="E220" s="5">
        <v>2.9166190094933084E-2</v>
      </c>
      <c r="F220" s="7">
        <v>5.4317548746518104E-2</v>
      </c>
      <c r="G220" s="7">
        <v>0.54487179487179482</v>
      </c>
      <c r="H220" s="7">
        <v>1.4462028189985647E-4</v>
      </c>
      <c r="I220" s="7">
        <v>0.46948990495472698</v>
      </c>
      <c r="J220" s="7">
        <v>1.9134234586095887E-2</v>
      </c>
      <c r="K220" s="8">
        <v>3.9300000000000002E-2</v>
      </c>
      <c r="L220" s="8">
        <v>4.2200000000000001E-2</v>
      </c>
      <c r="M220" s="8">
        <v>5.4000000000000003E-3</v>
      </c>
      <c r="N220" s="7">
        <v>2.8999999999999998E-3</v>
      </c>
      <c r="O220" s="7">
        <v>3.600000000000006E-3</v>
      </c>
      <c r="P220" s="7">
        <v>-4.2000000000000006E-3</v>
      </c>
      <c r="Q220" s="7">
        <v>3.2051282051281937E-3</v>
      </c>
      <c r="R220" s="7">
        <v>-1.2213E-2</v>
      </c>
      <c r="S220" s="7">
        <v>3.5999999999999999E-3</v>
      </c>
    </row>
    <row r="221" spans="1:19" x14ac:dyDescent="0.3">
      <c r="A221" s="3">
        <v>196504</v>
      </c>
      <c r="B221" s="6">
        <f t="shared" si="6"/>
        <v>3.1897351406324229E-2</v>
      </c>
      <c r="C221" s="4">
        <f t="shared" si="7"/>
        <v>3.2511999999999999E-2</v>
      </c>
      <c r="D221" s="5">
        <v>2.8840758612950285E-2</v>
      </c>
      <c r="E221" s="5">
        <v>2.9828226555246053E-2</v>
      </c>
      <c r="F221" s="7">
        <v>5.3117831893165747E-2</v>
      </c>
      <c r="G221" s="7">
        <v>0.54295812884375272</v>
      </c>
      <c r="H221" s="7">
        <v>1.6275968488075286E-4</v>
      </c>
      <c r="I221" s="7">
        <v>0.45255933471392484</v>
      </c>
      <c r="J221" s="7">
        <v>1.4722572331669861E-2</v>
      </c>
      <c r="K221" s="8">
        <v>3.9300000000000002E-2</v>
      </c>
      <c r="L221" s="8">
        <v>4.2200000000000001E-2</v>
      </c>
      <c r="M221" s="8">
        <v>3.5999999999999999E-3</v>
      </c>
      <c r="N221" s="7">
        <v>2.8999999999999998E-3</v>
      </c>
      <c r="O221" s="7">
        <v>3.7000000000000019E-3</v>
      </c>
      <c r="P221" s="7">
        <v>-1.5E-3</v>
      </c>
      <c r="Q221" s="7">
        <v>3.1948881789136685E-3</v>
      </c>
      <c r="R221" s="7">
        <v>3.5611999999999998E-2</v>
      </c>
      <c r="S221" s="7">
        <v>3.0999999999999999E-3</v>
      </c>
    </row>
    <row r="222" spans="1:19" x14ac:dyDescent="0.3">
      <c r="A222" s="3">
        <v>196505</v>
      </c>
      <c r="B222" s="6">
        <f t="shared" si="6"/>
        <v>-6.2220885163696733E-3</v>
      </c>
      <c r="C222" s="4">
        <f t="shared" si="7"/>
        <v>-6.2220000000000001E-3</v>
      </c>
      <c r="D222" s="5">
        <v>2.9292015381135489E-2</v>
      </c>
      <c r="E222" s="5">
        <v>2.906520031421838E-2</v>
      </c>
      <c r="F222" s="7">
        <v>5.4135602804795291E-2</v>
      </c>
      <c r="G222" s="7">
        <v>0.54108597417411264</v>
      </c>
      <c r="H222" s="7">
        <v>3.3376402913468236E-4</v>
      </c>
      <c r="I222" s="7">
        <v>0.4546642847806196</v>
      </c>
      <c r="J222" s="7">
        <v>1.6245056568909486E-2</v>
      </c>
      <c r="K222" s="8">
        <v>3.8900000000000004E-2</v>
      </c>
      <c r="L222" s="8">
        <v>4.2299999999999997E-2</v>
      </c>
      <c r="M222" s="8">
        <v>1.8E-3</v>
      </c>
      <c r="N222" s="7">
        <v>3.3999999999999933E-3</v>
      </c>
      <c r="O222" s="7">
        <v>3.699999999999995E-3</v>
      </c>
      <c r="P222" s="7">
        <v>-2.5999999999999999E-3</v>
      </c>
      <c r="Q222" s="7">
        <v>0</v>
      </c>
      <c r="R222" s="7">
        <v>-3.1220000000000002E-3</v>
      </c>
      <c r="S222" s="7">
        <v>3.0999999999999999E-3</v>
      </c>
    </row>
    <row r="223" spans="1:19" x14ac:dyDescent="0.3">
      <c r="A223" s="3">
        <v>196506</v>
      </c>
      <c r="B223" s="6">
        <f t="shared" si="6"/>
        <v>-5.1508354356015612E-2</v>
      </c>
      <c r="C223" s="4">
        <f t="shared" si="7"/>
        <v>-5.0379999999999994E-2</v>
      </c>
      <c r="D223" s="5">
        <v>3.1027104136947214E-2</v>
      </c>
      <c r="E223" s="5">
        <v>2.9518208550101784E-2</v>
      </c>
      <c r="F223" s="7">
        <v>5.7536852116024724E-2</v>
      </c>
      <c r="G223" s="7">
        <v>0.53925619834710747</v>
      </c>
      <c r="H223" s="7">
        <v>1.8293746304502963E-3</v>
      </c>
      <c r="I223" s="7">
        <v>0.48085895648767901</v>
      </c>
      <c r="J223" s="7">
        <v>1.7551222576850389E-2</v>
      </c>
      <c r="K223" s="8">
        <v>3.7999999999999999E-2</v>
      </c>
      <c r="L223" s="8">
        <v>4.2299999999999997E-2</v>
      </c>
      <c r="M223" s="8">
        <v>4.7000000000000002E-3</v>
      </c>
      <c r="N223" s="7">
        <v>4.2999999999999983E-3</v>
      </c>
      <c r="O223" s="7">
        <v>3.8999999999999937E-3</v>
      </c>
      <c r="P223" s="7">
        <v>-4.4000000000000003E-3</v>
      </c>
      <c r="Q223" s="7">
        <v>6.3694267515923553E-3</v>
      </c>
      <c r="R223" s="7">
        <v>-4.6879999999999998E-2</v>
      </c>
      <c r="S223" s="7">
        <v>3.4999999999999996E-3</v>
      </c>
    </row>
    <row r="224" spans="1:19" x14ac:dyDescent="0.3">
      <c r="A224" s="3">
        <v>196507</v>
      </c>
      <c r="B224" s="6">
        <f t="shared" si="6"/>
        <v>1.1286875379781068E-2</v>
      </c>
      <c r="C224" s="4">
        <f t="shared" si="7"/>
        <v>1.1386E-2</v>
      </c>
      <c r="D224" s="5">
        <v>3.0811378299120232E-2</v>
      </c>
      <c r="E224" s="5">
        <v>3.122527341892534E-2</v>
      </c>
      <c r="F224" s="7">
        <v>5.7321642228738999E-2</v>
      </c>
      <c r="G224" s="7">
        <v>0.53751736867846611</v>
      </c>
      <c r="H224" s="7">
        <v>5.218655993088785E-4</v>
      </c>
      <c r="I224" s="7">
        <v>0.47338217615170003</v>
      </c>
      <c r="J224" s="7">
        <v>1.5627493905202568E-2</v>
      </c>
      <c r="K224" s="8">
        <v>3.8399999999999997E-2</v>
      </c>
      <c r="L224" s="8">
        <v>4.24E-2</v>
      </c>
      <c r="M224" s="8">
        <v>2.2000000000000001E-3</v>
      </c>
      <c r="N224" s="7">
        <v>4.0000000000000036E-3</v>
      </c>
      <c r="O224" s="7">
        <v>3.9999999999999897E-3</v>
      </c>
      <c r="P224" s="7">
        <v>-3.0000000000000014E-4</v>
      </c>
      <c r="Q224" s="7">
        <v>0</v>
      </c>
      <c r="R224" s="7">
        <v>1.4486000000000001E-2</v>
      </c>
      <c r="S224" s="7">
        <v>3.0999999999999999E-3</v>
      </c>
    </row>
    <row r="225" spans="1:19" x14ac:dyDescent="0.3">
      <c r="A225" s="3">
        <v>196508</v>
      </c>
      <c r="B225" s="6">
        <f t="shared" si="6"/>
        <v>2.3892492894533851E-2</v>
      </c>
      <c r="C225" s="4">
        <f t="shared" si="7"/>
        <v>2.426E-2</v>
      </c>
      <c r="D225" s="5">
        <v>3.0323849948376738E-2</v>
      </c>
      <c r="E225" s="5">
        <v>3.1006803519061585E-2</v>
      </c>
      <c r="F225" s="7">
        <v>5.6594355856372604E-2</v>
      </c>
      <c r="G225" s="7">
        <v>0.53581049716925488</v>
      </c>
      <c r="H225" s="7">
        <v>1.0753436077897705E-4</v>
      </c>
      <c r="I225" s="7">
        <v>0.46736087784122715</v>
      </c>
      <c r="J225" s="7">
        <v>1.5601188262299318E-2</v>
      </c>
      <c r="K225" s="8">
        <v>3.8399999999999997E-2</v>
      </c>
      <c r="L225" s="8">
        <v>4.2799999999999998E-2</v>
      </c>
      <c r="M225" s="8">
        <v>-1.2999999999999999E-3</v>
      </c>
      <c r="N225" s="7">
        <v>4.4000000000000011E-3</v>
      </c>
      <c r="O225" s="7">
        <v>3.8999999999999937E-3</v>
      </c>
      <c r="P225" s="7">
        <v>6.9999999999999999E-4</v>
      </c>
      <c r="Q225" s="7">
        <v>0</v>
      </c>
      <c r="R225" s="7">
        <v>2.7560000000000001E-2</v>
      </c>
      <c r="S225" s="7">
        <v>3.3E-3</v>
      </c>
    </row>
    <row r="226" spans="1:19" x14ac:dyDescent="0.3">
      <c r="A226" s="3">
        <v>196509</v>
      </c>
      <c r="B226" s="6">
        <f t="shared" si="6"/>
        <v>2.9726230319236865E-2</v>
      </c>
      <c r="C226" s="4">
        <f t="shared" si="7"/>
        <v>3.0266000000000001E-2</v>
      </c>
      <c r="D226" s="5">
        <v>2.9568697198755007E-2</v>
      </c>
      <c r="E226" s="5">
        <v>3.0515085465182976E-2</v>
      </c>
      <c r="F226" s="7">
        <v>5.5357936860827045E-2</v>
      </c>
      <c r="G226" s="7">
        <v>0.53413654618473894</v>
      </c>
      <c r="H226" s="7">
        <v>2.9910124224625633E-4</v>
      </c>
      <c r="I226" s="7">
        <v>0.4485374712544864</v>
      </c>
      <c r="J226" s="7">
        <v>1.6895389946368976E-2</v>
      </c>
      <c r="K226" s="8">
        <v>3.9199999999999999E-2</v>
      </c>
      <c r="L226" s="8">
        <v>4.3299999999999998E-2</v>
      </c>
      <c r="M226" s="8">
        <v>-3.3999999999999998E-3</v>
      </c>
      <c r="N226" s="7">
        <v>4.0999999999999995E-3</v>
      </c>
      <c r="O226" s="7">
        <v>3.9000000000000076E-3</v>
      </c>
      <c r="P226" s="7">
        <v>1.8999999999999998E-3</v>
      </c>
      <c r="Q226" s="7">
        <v>0</v>
      </c>
      <c r="R226" s="7">
        <v>3.3366E-2</v>
      </c>
      <c r="S226" s="7">
        <v>3.0999999999999999E-3</v>
      </c>
    </row>
    <row r="227" spans="1:19" x14ac:dyDescent="0.3">
      <c r="A227" s="3">
        <v>196510</v>
      </c>
      <c r="B227" s="6">
        <f t="shared" si="6"/>
        <v>2.5309533600540713E-2</v>
      </c>
      <c r="C227" s="4">
        <f t="shared" si="7"/>
        <v>2.5712000000000002E-2</v>
      </c>
      <c r="D227" s="5">
        <v>2.8998052369616969E-2</v>
      </c>
      <c r="E227" s="5">
        <v>2.9791018230324592E-2</v>
      </c>
      <c r="F227" s="7">
        <v>5.4641852412897637E-2</v>
      </c>
      <c r="G227" s="7">
        <v>0.53069306930693072</v>
      </c>
      <c r="H227" s="7">
        <v>1.8837912036113934E-4</v>
      </c>
      <c r="I227" s="7">
        <v>0.43442059907162628</v>
      </c>
      <c r="J227" s="7">
        <v>1.746419296943057E-2</v>
      </c>
      <c r="K227" s="8">
        <v>4.0300000000000002E-2</v>
      </c>
      <c r="L227" s="8">
        <v>4.3299999999999998E-2</v>
      </c>
      <c r="M227" s="8">
        <v>2.7000000000000001E-3</v>
      </c>
      <c r="N227" s="7">
        <v>2.9999999999999957E-3</v>
      </c>
      <c r="O227" s="7">
        <v>3.7000000000000019E-3</v>
      </c>
      <c r="P227" s="7">
        <v>1.8999999999999998E-3</v>
      </c>
      <c r="Q227" s="7">
        <v>3.1645569620253333E-3</v>
      </c>
      <c r="R227" s="7">
        <v>2.8812000000000001E-2</v>
      </c>
      <c r="S227" s="7">
        <v>3.0999999999999999E-3</v>
      </c>
    </row>
    <row r="228" spans="1:19" x14ac:dyDescent="0.3">
      <c r="A228" s="3">
        <v>196511</v>
      </c>
      <c r="B228" s="6">
        <f t="shared" si="6"/>
        <v>-7.3222079237950724E-3</v>
      </c>
      <c r="C228" s="4">
        <f t="shared" si="7"/>
        <v>-7.3209999999999994E-3</v>
      </c>
      <c r="D228" s="5">
        <v>2.9472764981988867E-2</v>
      </c>
      <c r="E228" s="5">
        <v>2.921445574550963E-2</v>
      </c>
      <c r="F228" s="7">
        <v>5.5889095076956663E-2</v>
      </c>
      <c r="G228" s="7">
        <v>0.52734375</v>
      </c>
      <c r="H228" s="7">
        <v>1.4141885326216663E-4</v>
      </c>
      <c r="I228" s="7">
        <v>0.44089531113012426</v>
      </c>
      <c r="J228" s="7">
        <v>2.0762499843492727E-2</v>
      </c>
      <c r="K228" s="8">
        <v>4.0899999999999999E-2</v>
      </c>
      <c r="L228" s="8">
        <v>4.41E-2</v>
      </c>
      <c r="M228" s="8">
        <v>-6.1999999999999998E-3</v>
      </c>
      <c r="N228" s="7">
        <v>3.2000000000000015E-3</v>
      </c>
      <c r="O228" s="7">
        <v>3.5000000000000031E-3</v>
      </c>
      <c r="P228" s="7">
        <v>4.9999999999999958E-4</v>
      </c>
      <c r="Q228" s="7">
        <v>0</v>
      </c>
      <c r="R228" s="7">
        <v>-3.8210000000000002E-3</v>
      </c>
      <c r="S228" s="7">
        <v>3.4999999999999996E-3</v>
      </c>
    </row>
    <row r="229" spans="1:19" x14ac:dyDescent="0.3">
      <c r="A229" s="3">
        <v>196512</v>
      </c>
      <c r="B229" s="6">
        <f t="shared" si="6"/>
        <v>7.0012487714230312E-3</v>
      </c>
      <c r="C229" s="4">
        <f t="shared" si="7"/>
        <v>7.0490000000000006E-3</v>
      </c>
      <c r="D229" s="5">
        <v>2.9427674997295251E-2</v>
      </c>
      <c r="E229" s="5">
        <v>2.9691081759633229E-2</v>
      </c>
      <c r="F229" s="7">
        <v>5.6150600454397924E-2</v>
      </c>
      <c r="G229" s="7">
        <v>0.52408477842003853</v>
      </c>
      <c r="H229" s="7">
        <v>3.0136552806465781E-4</v>
      </c>
      <c r="I229" s="7">
        <v>0.43063780616140146</v>
      </c>
      <c r="J229" s="7">
        <v>2.0837518729631407E-2</v>
      </c>
      <c r="K229" s="8">
        <v>4.3799999999999999E-2</v>
      </c>
      <c r="L229" s="8">
        <v>4.4999999999999998E-2</v>
      </c>
      <c r="M229" s="8">
        <v>-7.7999999999999996E-3</v>
      </c>
      <c r="N229" s="7">
        <v>1.1999999999999997E-3</v>
      </c>
      <c r="O229" s="7">
        <v>3.4000000000000002E-3</v>
      </c>
      <c r="P229" s="7">
        <v>-7.1000000000000004E-3</v>
      </c>
      <c r="Q229" s="7">
        <v>3.154574132492094E-3</v>
      </c>
      <c r="R229" s="7">
        <v>1.0349000000000001E-2</v>
      </c>
      <c r="S229" s="7">
        <v>3.3E-3</v>
      </c>
    </row>
    <row r="230" spans="1:19" x14ac:dyDescent="0.3">
      <c r="A230" s="3">
        <v>196601</v>
      </c>
      <c r="B230" s="6">
        <f t="shared" si="6"/>
        <v>1.895989878772094E-3</v>
      </c>
      <c r="C230" s="4">
        <f t="shared" si="7"/>
        <v>1.905E-3</v>
      </c>
      <c r="D230" s="5">
        <v>2.9500430663221364E-2</v>
      </c>
      <c r="E230" s="5">
        <v>2.9644054960510657E-2</v>
      </c>
      <c r="F230" s="7">
        <v>5.6416881998277352E-2</v>
      </c>
      <c r="G230" s="7">
        <v>0.52290076335877866</v>
      </c>
      <c r="H230" s="7">
        <v>1.5180444363155273E-4</v>
      </c>
      <c r="I230" s="7">
        <v>0.42439832843590808</v>
      </c>
      <c r="J230" s="7">
        <v>2.0278626913428969E-2</v>
      </c>
      <c r="K230" s="8">
        <v>4.5899999999999996E-2</v>
      </c>
      <c r="L230" s="8">
        <v>4.5699999999999998E-2</v>
      </c>
      <c r="M230" s="8">
        <v>-1.04E-2</v>
      </c>
      <c r="N230" s="7">
        <v>-1.9999999999999879E-4</v>
      </c>
      <c r="O230" s="7">
        <v>3.1999999999999945E-3</v>
      </c>
      <c r="P230" s="7">
        <v>1.26E-2</v>
      </c>
      <c r="Q230" s="7">
        <v>0</v>
      </c>
      <c r="R230" s="7">
        <v>5.705E-3</v>
      </c>
      <c r="S230" s="7">
        <v>3.8E-3</v>
      </c>
    </row>
    <row r="231" spans="1:19" x14ac:dyDescent="0.3">
      <c r="A231" s="3">
        <v>196602</v>
      </c>
      <c r="B231" s="6">
        <f t="shared" si="6"/>
        <v>-1.6325868069634132E-2</v>
      </c>
      <c r="C231" s="4">
        <f t="shared" si="7"/>
        <v>-1.6250000000000001E-2</v>
      </c>
      <c r="D231" s="5">
        <v>3.0256522692392016E-2</v>
      </c>
      <c r="E231" s="5">
        <v>2.9715762273901807E-2</v>
      </c>
      <c r="F231" s="7">
        <v>5.7991668493751369E-2</v>
      </c>
      <c r="G231" s="7">
        <v>0.52173913043478259</v>
      </c>
      <c r="H231" s="7">
        <v>3.3706547003400895E-4</v>
      </c>
      <c r="I231" s="7">
        <v>0.43849604471104853</v>
      </c>
      <c r="J231" s="7">
        <v>2.0025974238215696E-2</v>
      </c>
      <c r="K231" s="8">
        <v>4.6500000000000007E-2</v>
      </c>
      <c r="L231" s="8">
        <v>4.7699999999999999E-2</v>
      </c>
      <c r="M231" s="8">
        <v>-2.5000000000000001E-2</v>
      </c>
      <c r="N231" s="7">
        <v>1.1999999999999927E-3</v>
      </c>
      <c r="O231" s="7">
        <v>3.4000000000000002E-3</v>
      </c>
      <c r="P231" s="7">
        <v>1.3700000000000002E-2</v>
      </c>
      <c r="Q231" s="7">
        <v>6.2893081761006275E-3</v>
      </c>
      <c r="R231" s="7">
        <v>-1.2749999999999999E-2</v>
      </c>
      <c r="S231" s="7">
        <v>3.4999999999999996E-3</v>
      </c>
    </row>
    <row r="232" spans="1:19" x14ac:dyDescent="0.3">
      <c r="A232" s="3">
        <v>196603</v>
      </c>
      <c r="B232" s="6">
        <f t="shared" si="6"/>
        <v>-2.7103391258204761E-2</v>
      </c>
      <c r="C232" s="4">
        <f t="shared" si="7"/>
        <v>-2.6841E-2</v>
      </c>
      <c r="D232" s="5">
        <v>3.1155440995180989E-2</v>
      </c>
      <c r="E232" s="5">
        <v>3.047577285682964E-2</v>
      </c>
      <c r="F232" s="7">
        <v>5.9845343494340467E-2</v>
      </c>
      <c r="G232" s="7">
        <v>0.52059925093632953</v>
      </c>
      <c r="H232" s="7">
        <v>9.3100789597414229E-4</v>
      </c>
      <c r="I232" s="7">
        <v>0.49017593563805056</v>
      </c>
      <c r="J232" s="7">
        <v>1.6788179507743927E-2</v>
      </c>
      <c r="K232" s="8">
        <v>4.5899999999999996E-2</v>
      </c>
      <c r="L232" s="8">
        <v>4.5999999999999999E-2</v>
      </c>
      <c r="M232" s="8">
        <v>2.9600000000000001E-2</v>
      </c>
      <c r="N232" s="7">
        <v>1.0000000000000286E-4</v>
      </c>
      <c r="O232" s="7">
        <v>4.0000000000000036E-3</v>
      </c>
      <c r="P232" s="7">
        <v>-3.5500000000000004E-2</v>
      </c>
      <c r="Q232" s="7">
        <v>3.1250000000000444E-3</v>
      </c>
      <c r="R232" s="7">
        <v>-2.3040999999999999E-2</v>
      </c>
      <c r="S232" s="7">
        <v>3.8E-3</v>
      </c>
    </row>
    <row r="233" spans="1:19" x14ac:dyDescent="0.3">
      <c r="A233" s="3">
        <v>196604</v>
      </c>
      <c r="B233" s="6">
        <f t="shared" si="6"/>
        <v>1.8521845590161741E-2</v>
      </c>
      <c r="C233" s="4">
        <f t="shared" si="7"/>
        <v>1.8758E-2</v>
      </c>
      <c r="D233" s="5">
        <v>3.0712387436854824E-2</v>
      </c>
      <c r="E233" s="5">
        <v>3.1342261571220442E-2</v>
      </c>
      <c r="F233" s="7">
        <v>5.908192400614979E-2</v>
      </c>
      <c r="G233" s="7">
        <v>0.51982713754646848</v>
      </c>
      <c r="H233" s="7">
        <v>3.5126467384596763E-4</v>
      </c>
      <c r="I233" s="7">
        <v>0.48549824350955362</v>
      </c>
      <c r="J233" s="7">
        <v>1.5636342372411332E-2</v>
      </c>
      <c r="K233" s="8">
        <v>4.6199999999999998E-2</v>
      </c>
      <c r="L233" s="8">
        <v>4.6699999999999998E-2</v>
      </c>
      <c r="M233" s="8">
        <v>-6.3E-3</v>
      </c>
      <c r="N233" s="7">
        <v>5.0000000000000044E-4</v>
      </c>
      <c r="O233" s="7">
        <v>4.500000000000004E-3</v>
      </c>
      <c r="P233" s="7">
        <v>7.6E-3</v>
      </c>
      <c r="Q233" s="7">
        <v>6.230529595015355E-3</v>
      </c>
      <c r="R233" s="7">
        <v>2.2158000000000001E-2</v>
      </c>
      <c r="S233" s="7">
        <v>3.4000000000000002E-3</v>
      </c>
    </row>
    <row r="234" spans="1:19" x14ac:dyDescent="0.3">
      <c r="A234" s="3">
        <v>196605</v>
      </c>
      <c r="B234" s="6">
        <f t="shared" si="6"/>
        <v>-5.4480058636481477E-2</v>
      </c>
      <c r="C234" s="4">
        <f t="shared" si="7"/>
        <v>-5.3240000000000003E-2</v>
      </c>
      <c r="D234" s="5">
        <v>3.2663764077557181E-2</v>
      </c>
      <c r="E234" s="5">
        <v>3.0895343729409181E-2</v>
      </c>
      <c r="F234" s="7">
        <v>6.2928131893649139E-2</v>
      </c>
      <c r="G234" s="7">
        <v>0.51906457564575648</v>
      </c>
      <c r="H234" s="7">
        <v>1.9354753996564922E-3</v>
      </c>
      <c r="I234" s="7">
        <v>0.51274220367165491</v>
      </c>
      <c r="J234" s="7">
        <v>1.5945688714988349E-2</v>
      </c>
      <c r="K234" s="8">
        <v>4.6399999999999997E-2</v>
      </c>
      <c r="L234" s="8">
        <v>4.7300000000000002E-2</v>
      </c>
      <c r="M234" s="8">
        <v>-5.8999999999999999E-3</v>
      </c>
      <c r="N234" s="7">
        <v>9.0000000000000496E-4</v>
      </c>
      <c r="O234" s="7">
        <v>4.9999999999999975E-3</v>
      </c>
      <c r="P234" s="7">
        <v>3.3E-3</v>
      </c>
      <c r="Q234" s="7">
        <v>0</v>
      </c>
      <c r="R234" s="7">
        <v>-4.9140000000000003E-2</v>
      </c>
      <c r="S234" s="7">
        <v>4.0999999999999995E-3</v>
      </c>
    </row>
    <row r="235" spans="1:19" x14ac:dyDescent="0.3">
      <c r="A235" s="3">
        <v>196606</v>
      </c>
      <c r="B235" s="6">
        <f t="shared" si="6"/>
        <v>-1.8277192439669784E-2</v>
      </c>
      <c r="C235" s="4">
        <f t="shared" si="7"/>
        <v>-1.8180000000000002E-2</v>
      </c>
      <c r="D235" s="5">
        <v>3.3396270946424361E-2</v>
      </c>
      <c r="E235" s="5">
        <v>3.2857308719377684E-2</v>
      </c>
      <c r="F235" s="7">
        <v>6.4432381401935329E-2</v>
      </c>
      <c r="G235" s="7">
        <v>0.51831501831501836</v>
      </c>
      <c r="H235" s="7">
        <v>5.012069312327924E-4</v>
      </c>
      <c r="I235" s="7">
        <v>0.52097460062061829</v>
      </c>
      <c r="J235" s="7">
        <v>1.712305373395355E-2</v>
      </c>
      <c r="K235" s="8">
        <v>4.4999999999999998E-2</v>
      </c>
      <c r="L235" s="8">
        <v>4.7699999999999999E-2</v>
      </c>
      <c r="M235" s="8">
        <v>-1.6000000000000001E-3</v>
      </c>
      <c r="N235" s="7">
        <v>2.700000000000001E-3</v>
      </c>
      <c r="O235" s="7">
        <v>5.1000000000000004E-3</v>
      </c>
      <c r="P235" s="7">
        <v>4.5999999999999999E-3</v>
      </c>
      <c r="Q235" s="7">
        <v>3.0959752321981782E-3</v>
      </c>
      <c r="R235" s="7">
        <v>-1.438E-2</v>
      </c>
      <c r="S235" s="7">
        <v>3.8E-3</v>
      </c>
    </row>
    <row r="236" spans="1:19" x14ac:dyDescent="0.3">
      <c r="A236" s="3">
        <v>196607</v>
      </c>
      <c r="B236" s="6">
        <f t="shared" si="6"/>
        <v>-1.5697045814731324E-2</v>
      </c>
      <c r="C236" s="4">
        <f t="shared" si="7"/>
        <v>-1.5628999999999997E-2</v>
      </c>
      <c r="D236" s="5">
        <v>3.4090909090909095E-2</v>
      </c>
      <c r="E236" s="5">
        <v>3.3632286995515695E-2</v>
      </c>
      <c r="F236" s="7">
        <v>6.5510406698564602E-2</v>
      </c>
      <c r="G236" s="7">
        <v>0.5203892146139899</v>
      </c>
      <c r="H236" s="7">
        <v>1.0137844542864489E-3</v>
      </c>
      <c r="I236" s="7">
        <v>0.53494300077887136</v>
      </c>
      <c r="J236" s="7">
        <v>1.864137395031891E-2</v>
      </c>
      <c r="K236" s="8">
        <v>4.8000000000000001E-2</v>
      </c>
      <c r="L236" s="8">
        <v>4.82E-2</v>
      </c>
      <c r="M236" s="8">
        <v>-3.7000000000000002E-3</v>
      </c>
      <c r="N236" s="7">
        <v>1.9999999999999879E-4</v>
      </c>
      <c r="O236" s="7">
        <v>5.1999999999999963E-3</v>
      </c>
      <c r="P236" s="7">
        <v>-6.0999999999999995E-3</v>
      </c>
      <c r="Q236" s="7">
        <v>3.0864197530864335E-3</v>
      </c>
      <c r="R236" s="7">
        <v>-1.2128999999999999E-2</v>
      </c>
      <c r="S236" s="7">
        <v>3.4999999999999996E-3</v>
      </c>
    </row>
    <row r="237" spans="1:19" x14ac:dyDescent="0.3">
      <c r="A237" s="3">
        <v>196608</v>
      </c>
      <c r="B237" s="6">
        <f t="shared" si="6"/>
        <v>-7.8438080031910398E-2</v>
      </c>
      <c r="C237" s="4">
        <f t="shared" si="7"/>
        <v>-7.5750000000000012E-2</v>
      </c>
      <c r="D237" s="5">
        <v>3.7224383916990927E-2</v>
      </c>
      <c r="E237" s="5">
        <v>3.4330143540669864E-2</v>
      </c>
      <c r="F237" s="7">
        <v>7.1249416342412455E-2</v>
      </c>
      <c r="G237" s="7">
        <v>0.52245177333238668</v>
      </c>
      <c r="H237" s="7">
        <v>3.165234678005566E-3</v>
      </c>
      <c r="I237" s="7">
        <v>0.57495465557260816</v>
      </c>
      <c r="J237" s="7">
        <v>2.1470415295758868E-2</v>
      </c>
      <c r="K237" s="8">
        <v>4.9599999999999998E-2</v>
      </c>
      <c r="L237" s="8">
        <v>4.99E-2</v>
      </c>
      <c r="M237" s="8">
        <v>-2.06E-2</v>
      </c>
      <c r="N237" s="7">
        <v>3.0000000000000165E-4</v>
      </c>
      <c r="O237" s="7">
        <v>5.2000000000000032E-3</v>
      </c>
      <c r="P237" s="7">
        <v>-5.2999999999999992E-3</v>
      </c>
      <c r="Q237" s="7">
        <v>6.1538461538461764E-3</v>
      </c>
      <c r="R237" s="7">
        <v>-7.1650000000000005E-2</v>
      </c>
      <c r="S237" s="7">
        <v>4.0999999999999995E-3</v>
      </c>
    </row>
    <row r="238" spans="1:19" x14ac:dyDescent="0.3">
      <c r="A238" s="3">
        <v>196609</v>
      </c>
      <c r="B238" s="6">
        <f t="shared" si="6"/>
        <v>-1.0255596565510876E-2</v>
      </c>
      <c r="C238" s="4">
        <f t="shared" si="7"/>
        <v>-1.0244E-2</v>
      </c>
      <c r="D238" s="5">
        <v>3.7748171368861022E-2</v>
      </c>
      <c r="E238" s="5">
        <v>3.7483787289234766E-2</v>
      </c>
      <c r="F238" s="7">
        <v>7.1969696969696961E-2</v>
      </c>
      <c r="G238" s="7">
        <v>0.52450090744101641</v>
      </c>
      <c r="H238" s="7">
        <v>1.6003107116250844E-3</v>
      </c>
      <c r="I238" s="7">
        <v>0.58549249567306449</v>
      </c>
      <c r="J238" s="7">
        <v>1.6984596597491002E-2</v>
      </c>
      <c r="K238" s="8">
        <v>5.3699999999999998E-2</v>
      </c>
      <c r="L238" s="8">
        <v>4.8000000000000001E-2</v>
      </c>
      <c r="M238" s="8">
        <v>3.32E-2</v>
      </c>
      <c r="N238" s="7">
        <v>-5.6999999999999967E-3</v>
      </c>
      <c r="O238" s="7">
        <v>5.9999999999999915E-3</v>
      </c>
      <c r="P238" s="7">
        <v>-2.5399999999999999E-2</v>
      </c>
      <c r="Q238" s="7">
        <v>0</v>
      </c>
      <c r="R238" s="7">
        <v>-6.2440000000000004E-3</v>
      </c>
      <c r="S238" s="7">
        <v>4.0000000000000001E-3</v>
      </c>
    </row>
    <row r="239" spans="1:19" x14ac:dyDescent="0.3">
      <c r="A239" s="3">
        <v>196610</v>
      </c>
      <c r="B239" s="6">
        <f t="shared" si="6"/>
        <v>4.2711378246367719E-2</v>
      </c>
      <c r="C239" s="4">
        <f t="shared" si="7"/>
        <v>4.3832999999999997E-2</v>
      </c>
      <c r="D239" s="5">
        <v>3.5951745635910221E-2</v>
      </c>
      <c r="E239" s="5">
        <v>3.766105015673981E-2</v>
      </c>
      <c r="F239" s="7">
        <v>6.8869451371571064E-2</v>
      </c>
      <c r="G239" s="7">
        <v>0.52202747255731596</v>
      </c>
      <c r="H239" s="7">
        <v>2.5467766407746111E-3</v>
      </c>
      <c r="I239" s="7">
        <v>0.56166131810127995</v>
      </c>
      <c r="J239" s="7">
        <v>1.5184170287673134E-2</v>
      </c>
      <c r="K239" s="8">
        <v>5.3499999999999999E-2</v>
      </c>
      <c r="L239" s="8">
        <v>4.6699999999999998E-2</v>
      </c>
      <c r="M239" s="8">
        <v>2.2800000000000001E-2</v>
      </c>
      <c r="N239" s="7">
        <v>-6.8000000000000005E-3</v>
      </c>
      <c r="O239" s="7">
        <v>6.8999999999999964E-3</v>
      </c>
      <c r="P239" s="7">
        <v>3.3000000000000008E-3</v>
      </c>
      <c r="Q239" s="7">
        <v>6.1162079510701517E-3</v>
      </c>
      <c r="R239" s="7">
        <v>4.8333000000000001E-2</v>
      </c>
      <c r="S239" s="7">
        <v>4.5000000000000005E-3</v>
      </c>
    </row>
    <row r="240" spans="1:19" x14ac:dyDescent="0.3">
      <c r="A240" s="3">
        <v>196611</v>
      </c>
      <c r="B240" s="6">
        <f t="shared" si="6"/>
        <v>7.1684681354136585E-3</v>
      </c>
      <c r="C240" s="4">
        <f t="shared" si="7"/>
        <v>7.2230000000000003E-3</v>
      </c>
      <c r="D240" s="5">
        <v>3.5757240522063388E-2</v>
      </c>
      <c r="E240" s="5">
        <v>3.5868703241895256E-2</v>
      </c>
      <c r="F240" s="7">
        <v>6.8821255438160339E-2</v>
      </c>
      <c r="G240" s="7">
        <v>0.51956681543238081</v>
      </c>
      <c r="H240" s="7">
        <v>7.7441631490160782E-4</v>
      </c>
      <c r="I240" s="7">
        <v>0.57264492982478299</v>
      </c>
      <c r="J240" s="7">
        <v>1.7549742908941502E-2</v>
      </c>
      <c r="K240" s="8">
        <v>5.3200000000000004E-2</v>
      </c>
      <c r="L240" s="8">
        <v>4.8000000000000001E-2</v>
      </c>
      <c r="M240" s="8">
        <v>-1.4800000000000001E-2</v>
      </c>
      <c r="N240" s="7">
        <v>-5.2000000000000032E-3</v>
      </c>
      <c r="O240" s="7">
        <v>7.8000000000000014E-3</v>
      </c>
      <c r="P240" s="7">
        <v>1.2800000000000001E-2</v>
      </c>
      <c r="Q240" s="7">
        <v>0</v>
      </c>
      <c r="R240" s="7">
        <v>1.1223E-2</v>
      </c>
      <c r="S240" s="7">
        <v>4.0000000000000001E-3</v>
      </c>
    </row>
    <row r="241" spans="1:19" x14ac:dyDescent="0.3">
      <c r="A241" s="3">
        <v>196612</v>
      </c>
      <c r="B241" s="6">
        <f t="shared" si="6"/>
        <v>-3.6660743959915725E-3</v>
      </c>
      <c r="C241" s="4">
        <f t="shared" si="7"/>
        <v>-3.6740000000000002E-3</v>
      </c>
      <c r="D241" s="5">
        <v>3.572762355284452E-2</v>
      </c>
      <c r="E241" s="5">
        <v>3.5674331883157238E-2</v>
      </c>
      <c r="F241" s="7">
        <v>6.9090003734594799E-2</v>
      </c>
      <c r="G241" s="7">
        <v>0.51711711711711716</v>
      </c>
      <c r="H241" s="7">
        <v>6.2694207009528235E-4</v>
      </c>
      <c r="I241" s="7">
        <v>0.57694510557599055</v>
      </c>
      <c r="J241" s="7">
        <v>1.7207641129152573E-2</v>
      </c>
      <c r="K241" s="8">
        <v>4.9599999999999998E-2</v>
      </c>
      <c r="L241" s="8">
        <v>4.5499999999999999E-2</v>
      </c>
      <c r="M241" s="8">
        <v>4.1300000000000003E-2</v>
      </c>
      <c r="N241" s="7">
        <v>-4.0999999999999995E-3</v>
      </c>
      <c r="O241" s="7">
        <v>7.8999999999999973E-3</v>
      </c>
      <c r="P241" s="7">
        <v>-2.1200000000000004E-2</v>
      </c>
      <c r="Q241" s="7">
        <v>0</v>
      </c>
      <c r="R241" s="7">
        <v>3.2600000000000001E-4</v>
      </c>
      <c r="S241" s="7">
        <v>4.0000000000000001E-3</v>
      </c>
    </row>
    <row r="242" spans="1:19" x14ac:dyDescent="0.3">
      <c r="A242" s="3">
        <v>196701</v>
      </c>
      <c r="B242" s="6">
        <f t="shared" si="6"/>
        <v>7.1943143582241256E-2</v>
      </c>
      <c r="C242" s="4">
        <f t="shared" si="7"/>
        <v>7.4914999999999995E-2</v>
      </c>
      <c r="D242" s="5">
        <v>3.3252511257360583E-2</v>
      </c>
      <c r="E242" s="5">
        <v>3.5852110046060003E-2</v>
      </c>
      <c r="F242" s="7">
        <v>6.3695531693799795E-2</v>
      </c>
      <c r="G242" s="7">
        <v>0.52205406522412967</v>
      </c>
      <c r="H242" s="7">
        <v>7.3348784319938272E-4</v>
      </c>
      <c r="I242" s="7">
        <v>0.53336314111237926</v>
      </c>
      <c r="J242" s="7">
        <v>1.5697532268506783E-2</v>
      </c>
      <c r="K242" s="8">
        <v>4.7199999999999999E-2</v>
      </c>
      <c r="L242" s="8">
        <v>4.48E-2</v>
      </c>
      <c r="M242" s="8">
        <v>1.54E-2</v>
      </c>
      <c r="N242" s="7">
        <v>-2.3999999999999994E-3</v>
      </c>
      <c r="O242" s="7">
        <v>7.6999999999999916E-3</v>
      </c>
      <c r="P242" s="7">
        <v>2.9599999999999998E-2</v>
      </c>
      <c r="Q242" s="7">
        <v>0</v>
      </c>
      <c r="R242" s="7">
        <v>7.9214999999999994E-2</v>
      </c>
      <c r="S242" s="7">
        <v>4.3E-3</v>
      </c>
    </row>
    <row r="243" spans="1:19" x14ac:dyDescent="0.3">
      <c r="A243" s="3">
        <v>196702</v>
      </c>
      <c r="B243" s="6">
        <f t="shared" si="6"/>
        <v>3.8923750136630355E-3</v>
      </c>
      <c r="C243" s="4">
        <f t="shared" si="7"/>
        <v>3.9139999999999999E-3</v>
      </c>
      <c r="D243" s="5">
        <v>3.3302604286702009E-2</v>
      </c>
      <c r="E243" s="5">
        <v>3.3367971365893083E-2</v>
      </c>
      <c r="F243" s="7">
        <v>6.3186563724360448E-2</v>
      </c>
      <c r="G243" s="7">
        <v>0.52705199212887066</v>
      </c>
      <c r="H243" s="7">
        <v>4.124037219870662E-4</v>
      </c>
      <c r="I243" s="7">
        <v>0.54004789306265411</v>
      </c>
      <c r="J243" s="7">
        <v>1.7700964839768879E-2</v>
      </c>
      <c r="K243" s="8">
        <v>4.5599999999999995E-2</v>
      </c>
      <c r="L243" s="8">
        <v>4.65E-2</v>
      </c>
      <c r="M243" s="8">
        <v>-2.2100000000000002E-2</v>
      </c>
      <c r="N243" s="7">
        <v>9.0000000000000496E-4</v>
      </c>
      <c r="O243" s="7">
        <v>7.8999999999999973E-3</v>
      </c>
      <c r="P243" s="7">
        <v>2.0000000000000018E-3</v>
      </c>
      <c r="Q243" s="7">
        <v>0</v>
      </c>
      <c r="R243" s="7">
        <v>7.5139999999999998E-3</v>
      </c>
      <c r="S243" s="7">
        <v>3.5999999999999999E-3</v>
      </c>
    </row>
    <row r="244" spans="1:19" x14ac:dyDescent="0.3">
      <c r="A244" s="3">
        <v>196703</v>
      </c>
      <c r="B244" s="6">
        <f t="shared" si="6"/>
        <v>3.6420970485116513E-2</v>
      </c>
      <c r="C244" s="4">
        <f t="shared" si="7"/>
        <v>3.7236999999999999E-2</v>
      </c>
      <c r="D244" s="5">
        <v>3.2150776053215077E-2</v>
      </c>
      <c r="E244" s="5">
        <v>3.3417838211569482E-2</v>
      </c>
      <c r="F244" s="7">
        <v>6.0421286031042132E-2</v>
      </c>
      <c r="G244" s="7">
        <v>0.53211009174311918</v>
      </c>
      <c r="H244" s="7">
        <v>5.0113620758507175E-4</v>
      </c>
      <c r="I244" s="7">
        <v>0.54955079793990624</v>
      </c>
      <c r="J244" s="7">
        <v>1.4921266750043238E-2</v>
      </c>
      <c r="K244" s="8">
        <v>4.2599999999999999E-2</v>
      </c>
      <c r="L244" s="8">
        <v>4.5499999999999999E-2</v>
      </c>
      <c r="M244" s="8">
        <v>1.9800000000000002E-2</v>
      </c>
      <c r="N244" s="7">
        <v>2.8999999999999998E-3</v>
      </c>
      <c r="O244" s="7">
        <v>7.1999999999999981E-3</v>
      </c>
      <c r="P244" s="7">
        <v>-8.1000000000000013E-3</v>
      </c>
      <c r="Q244" s="7">
        <v>3.0395136778116338E-3</v>
      </c>
      <c r="R244" s="7">
        <v>4.1137E-2</v>
      </c>
      <c r="S244" s="7">
        <v>3.9000000000000003E-3</v>
      </c>
    </row>
    <row r="245" spans="1:19" x14ac:dyDescent="0.3">
      <c r="A245" s="3">
        <v>196704</v>
      </c>
      <c r="B245" s="6">
        <f t="shared" si="6"/>
        <v>3.9261926572184587E-2</v>
      </c>
      <c r="C245" s="4">
        <f t="shared" si="7"/>
        <v>4.0170999999999998E-2</v>
      </c>
      <c r="D245" s="5">
        <v>3.0847782150835015E-2</v>
      </c>
      <c r="E245" s="5">
        <v>3.2150776053215077E-2</v>
      </c>
      <c r="F245" s="7">
        <v>5.7547069460695668E-2</v>
      </c>
      <c r="G245" s="7">
        <v>0.53604436229205177</v>
      </c>
      <c r="H245" s="7">
        <v>8.3709690699252726E-4</v>
      </c>
      <c r="I245" s="7">
        <v>0.53051669360682241</v>
      </c>
      <c r="J245" s="7">
        <v>1.5045822807813884E-2</v>
      </c>
      <c r="K245" s="8">
        <v>3.8399999999999997E-2</v>
      </c>
      <c r="L245" s="8">
        <v>4.7699999999999999E-2</v>
      </c>
      <c r="M245" s="8">
        <v>-2.9100000000000001E-2</v>
      </c>
      <c r="N245" s="7">
        <v>9.3000000000000027E-3</v>
      </c>
      <c r="O245" s="7">
        <v>7.1999999999999911E-3</v>
      </c>
      <c r="P245" s="7">
        <v>2.1999999999999999E-2</v>
      </c>
      <c r="Q245" s="7">
        <v>3.0303030303031608E-3</v>
      </c>
      <c r="R245" s="7">
        <v>4.3371E-2</v>
      </c>
      <c r="S245" s="7">
        <v>3.2000000000000002E-3</v>
      </c>
    </row>
    <row r="246" spans="1:19" x14ac:dyDescent="0.3">
      <c r="A246" s="3">
        <v>196705</v>
      </c>
      <c r="B246" s="6">
        <f t="shared" si="6"/>
        <v>-5.1235591739769944E-2</v>
      </c>
      <c r="C246" s="4">
        <f t="shared" si="7"/>
        <v>-5.0109999999999995E-2</v>
      </c>
      <c r="D246" s="5">
        <v>3.2555006735518636E-2</v>
      </c>
      <c r="E246" s="5">
        <v>3.0847782150835015E-2</v>
      </c>
      <c r="F246" s="7">
        <v>6.0282891782667269E-2</v>
      </c>
      <c r="G246" s="7">
        <v>0.54003724394785846</v>
      </c>
      <c r="H246" s="7">
        <v>8.9033962315354415E-4</v>
      </c>
      <c r="I246" s="7">
        <v>0.55820118232147886</v>
      </c>
      <c r="J246" s="7">
        <v>1.1464041127895393E-2</v>
      </c>
      <c r="K246" s="8">
        <v>3.6000000000000004E-2</v>
      </c>
      <c r="L246" s="8">
        <v>4.82E-2</v>
      </c>
      <c r="M246" s="8">
        <v>-3.8999999999999998E-3</v>
      </c>
      <c r="N246" s="7">
        <v>1.2199999999999996E-2</v>
      </c>
      <c r="O246" s="7">
        <v>7.1999999999999981E-3</v>
      </c>
      <c r="P246" s="7">
        <v>-2.1499999999999998E-2</v>
      </c>
      <c r="Q246" s="7">
        <v>3.0211480362538623E-3</v>
      </c>
      <c r="R246" s="7">
        <v>-4.6809999999999997E-2</v>
      </c>
      <c r="S246" s="7">
        <v>3.3E-3</v>
      </c>
    </row>
    <row r="247" spans="1:19" x14ac:dyDescent="0.3">
      <c r="A247" s="3">
        <v>196706</v>
      </c>
      <c r="B247" s="6">
        <f t="shared" si="6"/>
        <v>1.6438395714064653E-2</v>
      </c>
      <c r="C247" s="4">
        <f t="shared" si="7"/>
        <v>1.6618999999999998E-2</v>
      </c>
      <c r="D247" s="5">
        <v>3.1994704324801414E-2</v>
      </c>
      <c r="E247" s="5">
        <v>3.2555006735518636E-2</v>
      </c>
      <c r="F247" s="7">
        <v>5.8804060017652253E-2</v>
      </c>
      <c r="G247" s="7">
        <v>0.54409005628517826</v>
      </c>
      <c r="H247" s="7">
        <v>1.0707327571480442E-3</v>
      </c>
      <c r="I247" s="7">
        <v>0.55320484504684631</v>
      </c>
      <c r="J247" s="7">
        <v>1.0152764923360957E-2</v>
      </c>
      <c r="K247" s="8">
        <v>3.5400000000000001E-2</v>
      </c>
      <c r="L247" s="8">
        <v>5.0700000000000002E-2</v>
      </c>
      <c r="M247" s="8">
        <v>-3.1199999999999999E-2</v>
      </c>
      <c r="N247" s="7">
        <v>1.5300000000000001E-2</v>
      </c>
      <c r="O247" s="7">
        <v>7.1000000000000021E-3</v>
      </c>
      <c r="P247" s="7">
        <v>8.8999999999999982E-3</v>
      </c>
      <c r="Q247" s="7">
        <v>3.0120481927708997E-3</v>
      </c>
      <c r="R247" s="7">
        <v>1.9318999999999999E-2</v>
      </c>
      <c r="S247" s="7">
        <v>2.7000000000000001E-3</v>
      </c>
    </row>
    <row r="248" spans="1:19" x14ac:dyDescent="0.3">
      <c r="A248" s="3">
        <v>196707</v>
      </c>
      <c r="B248" s="6">
        <f t="shared" si="6"/>
        <v>4.2312100986563586E-2</v>
      </c>
      <c r="C248" s="4">
        <f t="shared" si="7"/>
        <v>4.3354000000000004E-2</v>
      </c>
      <c r="D248" s="5">
        <v>3.0677255936675463E-2</v>
      </c>
      <c r="E248" s="5">
        <v>3.2068292144748455E-2</v>
      </c>
      <c r="F248" s="7">
        <v>5.6147757255936681E-2</v>
      </c>
      <c r="G248" s="7">
        <v>0.54636654135338347</v>
      </c>
      <c r="H248" s="7">
        <v>2.1844692810296147E-4</v>
      </c>
      <c r="I248" s="7">
        <v>0.52629832787755459</v>
      </c>
      <c r="J248" s="7">
        <v>6.6869383148832444E-3</v>
      </c>
      <c r="K248" s="8">
        <v>4.2099999999999999E-2</v>
      </c>
      <c r="L248" s="8">
        <v>5.0500000000000003E-2</v>
      </c>
      <c r="M248" s="8">
        <v>6.7999999999999996E-3</v>
      </c>
      <c r="N248" s="7">
        <v>8.4000000000000047E-3</v>
      </c>
      <c r="O248" s="7">
        <v>6.8000000000000005E-3</v>
      </c>
      <c r="P248" s="7">
        <v>-2.6999999999999993E-3</v>
      </c>
      <c r="Q248" s="7">
        <v>3.0030030030030463E-3</v>
      </c>
      <c r="R248" s="7">
        <v>4.6454000000000002E-2</v>
      </c>
      <c r="S248" s="7">
        <v>3.0999999999999999E-3</v>
      </c>
    </row>
    <row r="249" spans="1:19" x14ac:dyDescent="0.3">
      <c r="A249" s="3">
        <v>196708</v>
      </c>
      <c r="B249" s="6">
        <f t="shared" si="6"/>
        <v>-9.9425948647479372E-3</v>
      </c>
      <c r="C249" s="4">
        <f t="shared" si="7"/>
        <v>-9.9240000000000005E-3</v>
      </c>
      <c r="D249" s="5">
        <v>3.1112024775736866E-2</v>
      </c>
      <c r="E249" s="5">
        <v>3.0747546174142482E-2</v>
      </c>
      <c r="F249" s="7">
        <v>5.6706535668517723E-2</v>
      </c>
      <c r="G249" s="7">
        <v>0.54864971751412439</v>
      </c>
      <c r="H249" s="7">
        <v>2.9661791501019733E-4</v>
      </c>
      <c r="I249" s="7">
        <v>0.52802094775266561</v>
      </c>
      <c r="J249" s="7">
        <v>5.8412275038961852E-3</v>
      </c>
      <c r="K249" s="8">
        <v>4.2699999999999995E-2</v>
      </c>
      <c r="L249" s="8">
        <v>5.1400000000000001E-2</v>
      </c>
      <c r="M249" s="8">
        <v>-8.3999999999999995E-3</v>
      </c>
      <c r="N249" s="7">
        <v>8.7000000000000063E-3</v>
      </c>
      <c r="O249" s="7">
        <v>7.0999999999999952E-3</v>
      </c>
      <c r="P249" s="7">
        <v>7.6999999999999994E-3</v>
      </c>
      <c r="Q249" s="7">
        <v>2.9940119760478723E-3</v>
      </c>
      <c r="R249" s="7">
        <v>-6.8240000000000002E-3</v>
      </c>
      <c r="S249" s="7">
        <v>3.0999999999999999E-3</v>
      </c>
    </row>
    <row r="250" spans="1:19" x14ac:dyDescent="0.3">
      <c r="A250" s="3">
        <v>196709</v>
      </c>
      <c r="B250" s="6">
        <f t="shared" si="6"/>
        <v>3.0060952354340018E-2</v>
      </c>
      <c r="C250" s="4">
        <f t="shared" si="7"/>
        <v>3.0614999999999996E-2</v>
      </c>
      <c r="D250" s="5">
        <v>3.0193361596525695E-2</v>
      </c>
      <c r="E250" s="5">
        <v>3.1183255019222554E-2</v>
      </c>
      <c r="F250" s="7">
        <v>5.4803019336159657E-2</v>
      </c>
      <c r="G250" s="7">
        <v>0.55094339622641508</v>
      </c>
      <c r="H250" s="7">
        <v>3.585438170942761E-4</v>
      </c>
      <c r="I250" s="7">
        <v>0.51356484579025752</v>
      </c>
      <c r="J250" s="7">
        <v>5.6007126672644233E-3</v>
      </c>
      <c r="K250" s="8">
        <v>4.4199999999999996E-2</v>
      </c>
      <c r="L250" s="8">
        <v>5.1700000000000003E-2</v>
      </c>
      <c r="M250" s="8">
        <v>-4.0000000000000002E-4</v>
      </c>
      <c r="N250" s="7">
        <v>7.5000000000000067E-3</v>
      </c>
      <c r="O250" s="7">
        <v>7.4999999999999997E-3</v>
      </c>
      <c r="P250" s="7">
        <v>9.7999999999999997E-3</v>
      </c>
      <c r="Q250" s="7">
        <v>2.9850746268658135E-3</v>
      </c>
      <c r="R250" s="7">
        <v>3.3814999999999998E-2</v>
      </c>
      <c r="S250" s="7">
        <v>3.2000000000000002E-3</v>
      </c>
    </row>
    <row r="251" spans="1:19" x14ac:dyDescent="0.3">
      <c r="A251" s="3">
        <v>196710</v>
      </c>
      <c r="B251" s="6">
        <f t="shared" si="6"/>
        <v>-3.1724149197354438E-2</v>
      </c>
      <c r="C251" s="4">
        <f t="shared" si="7"/>
        <v>-3.1348000000000001E-2</v>
      </c>
      <c r="D251" s="5">
        <v>3.1096911608093716E-2</v>
      </c>
      <c r="E251" s="5">
        <v>3.0193361596525695E-2</v>
      </c>
      <c r="F251" s="7">
        <v>5.6549520766773158E-2</v>
      </c>
      <c r="G251" s="7">
        <v>0.54990583804143134</v>
      </c>
      <c r="H251" s="7">
        <v>4.4490249536978182E-4</v>
      </c>
      <c r="I251" s="7">
        <v>0.54095528224248068</v>
      </c>
      <c r="J251" s="7">
        <v>3.7161806816109074E-3</v>
      </c>
      <c r="K251" s="8">
        <v>4.5599999999999995E-2</v>
      </c>
      <c r="L251" s="8">
        <v>5.4899999999999997E-2</v>
      </c>
      <c r="M251" s="8">
        <v>-0.04</v>
      </c>
      <c r="N251" s="7">
        <v>9.3000000000000027E-3</v>
      </c>
      <c r="O251" s="7">
        <v>6.9999999999999923E-3</v>
      </c>
      <c r="P251" s="7">
        <v>1.1900000000000001E-2</v>
      </c>
      <c r="Q251" s="7">
        <v>2.9761904761904656E-3</v>
      </c>
      <c r="R251" s="7">
        <v>-2.7448E-2</v>
      </c>
      <c r="S251" s="7">
        <v>3.9000000000000003E-3</v>
      </c>
    </row>
    <row r="252" spans="1:19" x14ac:dyDescent="0.3">
      <c r="A252" s="3">
        <v>196711</v>
      </c>
      <c r="B252" s="6">
        <f t="shared" si="6"/>
        <v>2.8208482736714773E-3</v>
      </c>
      <c r="C252" s="4">
        <f t="shared" si="7"/>
        <v>2.8349999999999998E-3</v>
      </c>
      <c r="D252" s="5">
        <v>3.1063829787234043E-2</v>
      </c>
      <c r="E252" s="5">
        <v>3.1096911608093716E-2</v>
      </c>
      <c r="F252" s="7">
        <v>5.6595744680851066E-2</v>
      </c>
      <c r="G252" s="7">
        <v>0.54887218045112773</v>
      </c>
      <c r="H252" s="7">
        <v>9.5478252475653797E-4</v>
      </c>
      <c r="I252" s="7">
        <v>0.54338269716034304</v>
      </c>
      <c r="J252" s="7">
        <v>2.7740202145559779E-3</v>
      </c>
      <c r="K252" s="8">
        <v>4.7300000000000002E-2</v>
      </c>
      <c r="L252" s="8">
        <v>5.67E-2</v>
      </c>
      <c r="M252" s="8">
        <v>-1.9599999999999999E-2</v>
      </c>
      <c r="N252" s="7">
        <v>9.3999999999999986E-3</v>
      </c>
      <c r="O252" s="7">
        <v>6.4999999999999919E-3</v>
      </c>
      <c r="P252" s="7">
        <v>-7.5999999999999991E-3</v>
      </c>
      <c r="Q252" s="7">
        <v>2.9673590504448732E-3</v>
      </c>
      <c r="R252" s="7">
        <v>6.4349999999999997E-3</v>
      </c>
      <c r="S252" s="7">
        <v>3.5999999999999999E-3</v>
      </c>
    </row>
    <row r="253" spans="1:19" x14ac:dyDescent="0.3">
      <c r="A253" s="3">
        <v>196712</v>
      </c>
      <c r="B253" s="6">
        <f t="shared" si="6"/>
        <v>2.3424284115486048E-2</v>
      </c>
      <c r="C253" s="4">
        <f t="shared" si="7"/>
        <v>2.3778999999999998E-2</v>
      </c>
      <c r="D253" s="5">
        <v>3.0268477246812479E-2</v>
      </c>
      <c r="E253" s="5">
        <v>3.1063829787234043E-2</v>
      </c>
      <c r="F253" s="7">
        <v>5.5250336892298128E-2</v>
      </c>
      <c r="G253" s="7">
        <v>0.5478424015009381</v>
      </c>
      <c r="H253" s="7">
        <v>2.7089916062937591E-4</v>
      </c>
      <c r="I253" s="7">
        <v>0.52579244511716805</v>
      </c>
      <c r="J253" s="7">
        <v>1.4362056484052687E-2</v>
      </c>
      <c r="K253" s="8">
        <v>4.9699999999999994E-2</v>
      </c>
      <c r="L253" s="8">
        <v>5.5599999999999997E-2</v>
      </c>
      <c r="M253" s="8">
        <v>1.9199999999999998E-2</v>
      </c>
      <c r="N253" s="7">
        <v>5.9000000000000025E-3</v>
      </c>
      <c r="O253" s="7">
        <v>7.3999999999999969E-3</v>
      </c>
      <c r="P253" s="7">
        <v>-6.4999999999999988E-3</v>
      </c>
      <c r="Q253" s="7">
        <v>2.9585798816569309E-3</v>
      </c>
      <c r="R253" s="7">
        <v>2.7078999999999999E-2</v>
      </c>
      <c r="S253" s="7">
        <v>3.3E-3</v>
      </c>
    </row>
    <row r="254" spans="1:19" x14ac:dyDescent="0.3">
      <c r="A254" s="3">
        <v>196801</v>
      </c>
      <c r="B254" s="6">
        <f t="shared" si="6"/>
        <v>-4.6769050625595929E-2</v>
      </c>
      <c r="C254" s="4">
        <f t="shared" si="7"/>
        <v>-4.5874999999999999E-2</v>
      </c>
      <c r="D254" s="5">
        <v>3.1764960971379014E-2</v>
      </c>
      <c r="E254" s="5">
        <v>3.0372136415465951E-2</v>
      </c>
      <c r="F254" s="7">
        <v>5.8181591500433658E-2</v>
      </c>
      <c r="G254" s="7">
        <v>0.54596239381217782</v>
      </c>
      <c r="H254" s="7">
        <v>4.8331893504480428E-4</v>
      </c>
      <c r="I254" s="7">
        <v>0.55630238348510175</v>
      </c>
      <c r="J254" s="7">
        <v>1.2855223794504709E-2</v>
      </c>
      <c r="K254" s="8">
        <v>0.05</v>
      </c>
      <c r="L254" s="8">
        <v>5.3600000000000002E-2</v>
      </c>
      <c r="M254" s="8">
        <v>3.2800000000000003E-2</v>
      </c>
      <c r="N254" s="7">
        <v>3.599999999999999E-3</v>
      </c>
      <c r="O254" s="7">
        <v>6.7000000000000046E-3</v>
      </c>
      <c r="P254" s="7">
        <v>3.2999999999999974E-3</v>
      </c>
      <c r="Q254" s="7">
        <v>5.8997050147493457E-3</v>
      </c>
      <c r="R254" s="7">
        <v>-4.1875000000000002E-2</v>
      </c>
      <c r="S254" s="7">
        <v>4.0000000000000001E-3</v>
      </c>
    </row>
    <row r="255" spans="1:19" x14ac:dyDescent="0.3">
      <c r="A255" s="3">
        <v>196802</v>
      </c>
      <c r="B255" s="6">
        <f t="shared" si="6"/>
        <v>-3.1160841869537631E-2</v>
      </c>
      <c r="C255" s="4">
        <f t="shared" si="7"/>
        <v>-3.0800000000000001E-2</v>
      </c>
      <c r="D255" s="5">
        <v>3.2900626678603405E-2</v>
      </c>
      <c r="E255" s="5">
        <v>3.1873373807458805E-2</v>
      </c>
      <c r="F255" s="7">
        <v>6.0466987466427938E-2</v>
      </c>
      <c r="G255" s="7">
        <v>0.54410891061623101</v>
      </c>
      <c r="H255" s="7">
        <v>8.2044530630182976E-4</v>
      </c>
      <c r="I255" s="7">
        <v>0.56621058893515763</v>
      </c>
      <c r="J255" s="7">
        <v>1.045181420356053E-2</v>
      </c>
      <c r="K255" s="8">
        <v>4.9800000000000004E-2</v>
      </c>
      <c r="L255" s="8">
        <v>5.4199999999999998E-2</v>
      </c>
      <c r="M255" s="8">
        <v>-3.3E-3</v>
      </c>
      <c r="N255" s="7">
        <v>4.3999999999999942E-3</v>
      </c>
      <c r="O255" s="7">
        <v>7.0000000000000062E-3</v>
      </c>
      <c r="P255" s="7">
        <v>7.0000000000000001E-3</v>
      </c>
      <c r="Q255" s="7">
        <v>2.9325513196480912E-3</v>
      </c>
      <c r="R255" s="7">
        <v>-2.69E-2</v>
      </c>
      <c r="S255" s="7">
        <v>3.9000000000000003E-3</v>
      </c>
    </row>
    <row r="256" spans="1:19" x14ac:dyDescent="0.3">
      <c r="A256" s="3">
        <v>196803</v>
      </c>
      <c r="B256" s="6">
        <f t="shared" si="6"/>
        <v>5.8564972088505397E-3</v>
      </c>
      <c r="C256" s="4">
        <f t="shared" si="7"/>
        <v>5.8960000000000002E-3</v>
      </c>
      <c r="D256" s="5">
        <v>3.2705099778270512E-2</v>
      </c>
      <c r="E256" s="5">
        <v>3.3012533572068042E-2</v>
      </c>
      <c r="F256" s="7">
        <v>6.0310421286031042E-2</v>
      </c>
      <c r="G256" s="7">
        <v>0.54227941176470584</v>
      </c>
      <c r="H256" s="7">
        <v>1.3954810358281918E-3</v>
      </c>
      <c r="I256" s="7">
        <v>0.5668098064638919</v>
      </c>
      <c r="J256" s="7">
        <v>1.267824380749793E-2</v>
      </c>
      <c r="K256" s="8">
        <v>5.1699999999999996E-2</v>
      </c>
      <c r="L256" s="8">
        <v>5.6000000000000001E-2</v>
      </c>
      <c r="M256" s="8">
        <v>-2.12E-2</v>
      </c>
      <c r="N256" s="7">
        <v>4.3000000000000052E-3</v>
      </c>
      <c r="O256" s="7">
        <v>7.3999999999999899E-3</v>
      </c>
      <c r="P256" s="7">
        <v>1.5000000000000013E-3</v>
      </c>
      <c r="Q256" s="7">
        <v>2.9239766081869956E-3</v>
      </c>
      <c r="R256" s="7">
        <v>9.6959999999999998E-3</v>
      </c>
      <c r="S256" s="7">
        <v>3.8E-3</v>
      </c>
    </row>
    <row r="257" spans="1:19" x14ac:dyDescent="0.3">
      <c r="A257" s="3">
        <v>196804</v>
      </c>
      <c r="B257" s="6">
        <f t="shared" si="6"/>
        <v>7.6451988847680036E-2</v>
      </c>
      <c r="C257" s="4">
        <f t="shared" si="7"/>
        <v>7.9792000000000002E-2</v>
      </c>
      <c r="D257" s="5">
        <v>3.0365098883082281E-2</v>
      </c>
      <c r="E257" s="5">
        <v>3.2852882483370288E-2</v>
      </c>
      <c r="F257" s="7">
        <v>5.6187416743518799E-2</v>
      </c>
      <c r="G257" s="7">
        <v>0.54042525253814744</v>
      </c>
      <c r="H257" s="7">
        <v>1.6075746379292835E-3</v>
      </c>
      <c r="I257" s="7">
        <v>0.52235206419504066</v>
      </c>
      <c r="J257" s="7">
        <v>8.1411566993048242E-3</v>
      </c>
      <c r="K257" s="8">
        <v>5.3800000000000001E-2</v>
      </c>
      <c r="L257" s="8">
        <v>5.4699999999999999E-2</v>
      </c>
      <c r="M257" s="8">
        <v>2.2700000000000001E-2</v>
      </c>
      <c r="N257" s="7">
        <v>8.9999999999999802E-4</v>
      </c>
      <c r="O257" s="7">
        <v>7.5999999999999956E-3</v>
      </c>
      <c r="P257" s="7">
        <v>-1.7900000000000003E-2</v>
      </c>
      <c r="Q257" s="7">
        <v>2.9154518950438302E-3</v>
      </c>
      <c r="R257" s="7">
        <v>8.4092E-2</v>
      </c>
      <c r="S257" s="7">
        <v>4.3E-3</v>
      </c>
    </row>
    <row r="258" spans="1:19" x14ac:dyDescent="0.3">
      <c r="A258" s="3">
        <v>196805</v>
      </c>
      <c r="B258" s="6">
        <f t="shared" si="6"/>
        <v>1.1751486383707863E-2</v>
      </c>
      <c r="C258" s="4">
        <f t="shared" si="7"/>
        <v>1.1873999999999999E-2</v>
      </c>
      <c r="D258" s="5">
        <v>3.0164876368058369E-2</v>
      </c>
      <c r="E258" s="5">
        <v>3.0501793216518084E-2</v>
      </c>
      <c r="F258" s="7">
        <v>5.6005978921767327E-2</v>
      </c>
      <c r="G258" s="7">
        <v>0.53860100205005901</v>
      </c>
      <c r="H258" s="7">
        <v>3.8653102139201936E-4</v>
      </c>
      <c r="I258" s="7">
        <v>0.53003337041156839</v>
      </c>
      <c r="J258" s="7">
        <v>1.0647451384805495E-2</v>
      </c>
      <c r="K258" s="8">
        <v>5.6600000000000004E-2</v>
      </c>
      <c r="L258" s="8">
        <v>5.4699999999999999E-2</v>
      </c>
      <c r="M258" s="8">
        <v>4.3E-3</v>
      </c>
      <c r="N258" s="7">
        <v>-1.9000000000000059E-3</v>
      </c>
      <c r="O258" s="7">
        <v>7.6000000000000095E-3</v>
      </c>
      <c r="P258" s="7">
        <v>-1.0999999999999998E-3</v>
      </c>
      <c r="Q258" s="7">
        <v>2.9069767441860517E-3</v>
      </c>
      <c r="R258" s="7">
        <v>1.6374E-2</v>
      </c>
      <c r="S258" s="7">
        <v>4.5000000000000005E-3</v>
      </c>
    </row>
    <row r="259" spans="1:19" x14ac:dyDescent="0.3">
      <c r="A259" s="3">
        <v>196806</v>
      </c>
      <c r="B259" s="6">
        <f t="shared" ref="B259:B322" si="8">LN(R259+1) - LN(S259+1)</f>
        <v>5.5763776605039575E-3</v>
      </c>
      <c r="C259" s="4">
        <f t="shared" ref="C259:C322" si="9">R259 - S259</f>
        <v>5.6159999999999995E-3</v>
      </c>
      <c r="D259" s="5">
        <v>3.0026109660574417E-2</v>
      </c>
      <c r="E259" s="5">
        <v>3.029995946493717E-2</v>
      </c>
      <c r="F259" s="7">
        <v>5.5934926692106854E-2</v>
      </c>
      <c r="G259" s="7">
        <v>0.53680430879712748</v>
      </c>
      <c r="H259" s="7">
        <v>4.9950470420052342E-4</v>
      </c>
      <c r="I259" s="7">
        <v>0.53074181332145243</v>
      </c>
      <c r="J259" s="7">
        <v>1.2091116984326343E-2</v>
      </c>
      <c r="K259" s="8">
        <v>5.5199999999999999E-2</v>
      </c>
      <c r="L259" s="8">
        <v>5.3400000000000003E-2</v>
      </c>
      <c r="M259" s="8">
        <v>2.3E-2</v>
      </c>
      <c r="N259" s="7">
        <v>-1.799999999999996E-3</v>
      </c>
      <c r="O259" s="7">
        <v>7.8999999999999904E-3</v>
      </c>
      <c r="P259" s="7">
        <v>-1.0799999999999999E-2</v>
      </c>
      <c r="Q259" s="7">
        <v>5.7971014492754769E-3</v>
      </c>
      <c r="R259" s="7">
        <v>9.9159999999999995E-3</v>
      </c>
      <c r="S259" s="7">
        <v>4.3E-3</v>
      </c>
    </row>
    <row r="260" spans="1:19" x14ac:dyDescent="0.3">
      <c r="A260" s="3">
        <v>196807</v>
      </c>
      <c r="B260" s="6">
        <f t="shared" si="8"/>
        <v>-2.2386456139340368E-2</v>
      </c>
      <c r="C260" s="4">
        <f t="shared" si="9"/>
        <v>-2.2244E-2</v>
      </c>
      <c r="D260" s="5">
        <v>3.0727747084100678E-2</v>
      </c>
      <c r="E260" s="5">
        <v>3.0159971881903998E-2</v>
      </c>
      <c r="F260" s="7">
        <v>5.7294863924698181E-2</v>
      </c>
      <c r="G260" s="7">
        <v>0.53630892857142864</v>
      </c>
      <c r="H260" s="7">
        <v>7.5661929739297129E-4</v>
      </c>
      <c r="I260" s="7">
        <v>0.53963759909399778</v>
      </c>
      <c r="J260" s="7">
        <v>1.3886487706896208E-2</v>
      </c>
      <c r="K260" s="8">
        <v>5.3099999999999994E-2</v>
      </c>
      <c r="L260" s="8">
        <v>5.1700000000000003E-2</v>
      </c>
      <c r="M260" s="8">
        <v>2.8899999999999999E-2</v>
      </c>
      <c r="N260" s="7">
        <v>-1.3999999999999915E-3</v>
      </c>
      <c r="O260" s="7">
        <v>7.3999999999999969E-3</v>
      </c>
      <c r="P260" s="7">
        <v>5.1999999999999998E-3</v>
      </c>
      <c r="Q260" s="7">
        <v>5.7636887608067955E-3</v>
      </c>
      <c r="R260" s="7">
        <v>-1.7444000000000001E-2</v>
      </c>
      <c r="S260" s="7">
        <v>4.7999999999999996E-3</v>
      </c>
    </row>
    <row r="261" spans="1:19" x14ac:dyDescent="0.3">
      <c r="A261" s="3">
        <v>196808</v>
      </c>
      <c r="B261" s="6">
        <f t="shared" si="8"/>
        <v>1.2090525705809648E-2</v>
      </c>
      <c r="C261" s="4">
        <f t="shared" si="9"/>
        <v>1.2215E-2</v>
      </c>
      <c r="D261" s="5">
        <v>3.0514566053004247E-2</v>
      </c>
      <c r="E261" s="5">
        <v>3.0864231634949869E-2</v>
      </c>
      <c r="F261" s="7">
        <v>5.6949221120776855E-2</v>
      </c>
      <c r="G261" s="7">
        <v>0.53582060390763764</v>
      </c>
      <c r="H261" s="7">
        <v>3.164033573881045E-4</v>
      </c>
      <c r="I261" s="7">
        <v>0.53180210042298637</v>
      </c>
      <c r="J261" s="7">
        <v>1.8036082660119909E-2</v>
      </c>
      <c r="K261" s="8">
        <v>5.0900000000000001E-2</v>
      </c>
      <c r="L261" s="8">
        <v>5.1999999999999998E-2</v>
      </c>
      <c r="M261" s="8">
        <v>-2.9999999999999997E-4</v>
      </c>
      <c r="N261" s="7">
        <v>1.0999999999999968E-3</v>
      </c>
      <c r="O261" s="7">
        <v>8.0000000000000002E-3</v>
      </c>
      <c r="P261" s="7">
        <v>2.0900000000000002E-2</v>
      </c>
      <c r="Q261" s="7">
        <v>2.8653295128939771E-3</v>
      </c>
      <c r="R261" s="7">
        <v>1.6414999999999999E-2</v>
      </c>
      <c r="S261" s="7">
        <v>4.1999999999999997E-3</v>
      </c>
    </row>
    <row r="262" spans="1:19" x14ac:dyDescent="0.3">
      <c r="A262" s="3">
        <v>196809</v>
      </c>
      <c r="B262" s="6">
        <f t="shared" si="8"/>
        <v>3.4305698481542649E-2</v>
      </c>
      <c r="C262" s="4">
        <f t="shared" si="9"/>
        <v>3.5050999999999999E-2</v>
      </c>
      <c r="D262" s="5">
        <v>2.9512028830232781E-2</v>
      </c>
      <c r="E262" s="5">
        <v>3.0649403196439409E-2</v>
      </c>
      <c r="F262" s="7">
        <v>5.5128080257134511E-2</v>
      </c>
      <c r="G262" s="7">
        <v>0.53533568904593631</v>
      </c>
      <c r="H262" s="7">
        <v>2.6823165745784561E-4</v>
      </c>
      <c r="I262" s="7">
        <v>0.50919543914767207</v>
      </c>
      <c r="J262" s="7">
        <v>1.8287139466255199E-2</v>
      </c>
      <c r="K262" s="8">
        <v>5.1900000000000002E-2</v>
      </c>
      <c r="L262" s="8">
        <v>5.3100000000000001E-2</v>
      </c>
      <c r="M262" s="8">
        <v>-1.0200000000000001E-2</v>
      </c>
      <c r="N262" s="7">
        <v>1.1999999999999997E-3</v>
      </c>
      <c r="O262" s="7">
        <v>8.2000000000000059E-3</v>
      </c>
      <c r="P262" s="7">
        <v>4.9000000000000007E-3</v>
      </c>
      <c r="Q262" s="7">
        <v>2.8571428571428914E-3</v>
      </c>
      <c r="R262" s="7">
        <v>3.9350999999999997E-2</v>
      </c>
      <c r="S262" s="7">
        <v>4.3E-3</v>
      </c>
    </row>
    <row r="263" spans="1:19" x14ac:dyDescent="0.3">
      <c r="A263" s="3">
        <v>196810</v>
      </c>
      <c r="B263" s="6">
        <f t="shared" si="8"/>
        <v>4.1599931228472921E-3</v>
      </c>
      <c r="C263" s="4">
        <f t="shared" si="9"/>
        <v>4.1869999999999989E-3</v>
      </c>
      <c r="D263" s="5">
        <v>2.9429745672565517E-2</v>
      </c>
      <c r="E263" s="5">
        <v>2.9641862277198793E-2</v>
      </c>
      <c r="F263" s="7">
        <v>5.5055894014118555E-2</v>
      </c>
      <c r="G263" s="7">
        <v>0.53454305301115523</v>
      </c>
      <c r="H263" s="7">
        <v>2.6840302048788842E-4</v>
      </c>
      <c r="I263" s="7">
        <v>0.50032024695765387</v>
      </c>
      <c r="J263" s="7">
        <v>1.9410196741644705E-2</v>
      </c>
      <c r="K263" s="8">
        <v>5.3499999999999999E-2</v>
      </c>
      <c r="L263" s="8">
        <v>5.4300000000000001E-2</v>
      </c>
      <c r="M263" s="8">
        <v>-1.32E-2</v>
      </c>
      <c r="N263" s="7">
        <v>8.000000000000021E-4</v>
      </c>
      <c r="O263" s="7">
        <v>7.5000000000000067E-3</v>
      </c>
      <c r="P263" s="7">
        <v>-2.8000000000000004E-3</v>
      </c>
      <c r="Q263" s="7">
        <v>5.6980056980056037E-3</v>
      </c>
      <c r="R263" s="7">
        <v>8.5869999999999991E-3</v>
      </c>
      <c r="S263" s="7">
        <v>4.4000000000000003E-3</v>
      </c>
    </row>
    <row r="264" spans="1:19" x14ac:dyDescent="0.3">
      <c r="A264" s="3">
        <v>196811</v>
      </c>
      <c r="B264" s="6">
        <f t="shared" si="8"/>
        <v>4.8002684112228709E-2</v>
      </c>
      <c r="C264" s="4">
        <f t="shared" si="9"/>
        <v>4.938E-2</v>
      </c>
      <c r="D264" s="5">
        <v>2.8205868782873487E-2</v>
      </c>
      <c r="E264" s="5">
        <v>2.955874673629243E-2</v>
      </c>
      <c r="F264" s="7">
        <v>5.2843683676294176E-2</v>
      </c>
      <c r="G264" s="7">
        <v>0.53376045764816193</v>
      </c>
      <c r="H264" s="7">
        <v>2.629657863405989E-4</v>
      </c>
      <c r="I264" s="7">
        <v>0.48371705851301416</v>
      </c>
      <c r="J264" s="7">
        <v>2.1188804750958797E-2</v>
      </c>
      <c r="K264" s="8">
        <v>5.45E-2</v>
      </c>
      <c r="L264" s="8">
        <v>5.6599999999999998E-2</v>
      </c>
      <c r="M264" s="8">
        <v>-2.69E-2</v>
      </c>
      <c r="N264" s="7">
        <v>2.0999999999999977E-3</v>
      </c>
      <c r="O264" s="7">
        <v>8.199999999999992E-3</v>
      </c>
      <c r="P264" s="7">
        <v>4.3000000000000017E-3</v>
      </c>
      <c r="Q264" s="7">
        <v>2.8328611898016387E-3</v>
      </c>
      <c r="R264" s="7">
        <v>5.3580000000000003E-2</v>
      </c>
      <c r="S264" s="7">
        <v>4.1999999999999997E-3</v>
      </c>
    </row>
    <row r="265" spans="1:19" x14ac:dyDescent="0.3">
      <c r="A265" s="3">
        <v>196812</v>
      </c>
      <c r="B265" s="6">
        <f t="shared" si="8"/>
        <v>-4.5973562974962308E-2</v>
      </c>
      <c r="C265" s="4">
        <f t="shared" si="9"/>
        <v>-4.5125999999999999E-2</v>
      </c>
      <c r="D265" s="5">
        <v>2.9559021760061619E-2</v>
      </c>
      <c r="E265" s="5">
        <v>2.8328873304420039E-2</v>
      </c>
      <c r="F265" s="7">
        <v>5.5459272097053723E-2</v>
      </c>
      <c r="G265" s="7">
        <v>0.53298611111111105</v>
      </c>
      <c r="H265" s="7">
        <v>3.3397510071427305E-4</v>
      </c>
      <c r="I265" s="7">
        <v>0.50490066225165564</v>
      </c>
      <c r="J265" s="7">
        <v>3.1961446922372849E-2</v>
      </c>
      <c r="K265" s="8">
        <v>5.96E-2</v>
      </c>
      <c r="L265" s="8">
        <v>5.9799999999999999E-2</v>
      </c>
      <c r="M265" s="8">
        <v>-3.6299999999999999E-2</v>
      </c>
      <c r="N265" s="7">
        <v>1.9999999999999879E-4</v>
      </c>
      <c r="O265" s="7">
        <v>7.8000000000000014E-3</v>
      </c>
      <c r="P265" s="7">
        <v>1.2999999999999998E-2</v>
      </c>
      <c r="Q265" s="7">
        <v>2.8248587570622874E-3</v>
      </c>
      <c r="R265" s="7">
        <v>-4.0826000000000001E-2</v>
      </c>
      <c r="S265" s="7">
        <v>4.3E-3</v>
      </c>
    </row>
    <row r="266" spans="1:19" x14ac:dyDescent="0.3">
      <c r="A266" s="3">
        <v>196901</v>
      </c>
      <c r="B266" s="6">
        <f t="shared" si="8"/>
        <v>-1.2861627135048107E-2</v>
      </c>
      <c r="C266" s="4">
        <f t="shared" si="9"/>
        <v>-1.2847000000000001E-2</v>
      </c>
      <c r="D266" s="5">
        <v>2.9900009707795359E-2</v>
      </c>
      <c r="E266" s="5">
        <v>2.9655305218563452E-2</v>
      </c>
      <c r="F266" s="7">
        <v>5.6111057178914667E-2</v>
      </c>
      <c r="G266" s="7">
        <v>0.53287197231833905</v>
      </c>
      <c r="H266" s="7">
        <v>6.0677027723364725E-4</v>
      </c>
      <c r="I266" s="7">
        <v>0.50367316738015966</v>
      </c>
      <c r="J266" s="7">
        <v>3.6524492659354396E-2</v>
      </c>
      <c r="K266" s="8">
        <v>6.1399999999999996E-2</v>
      </c>
      <c r="L266" s="8">
        <v>6.1699999999999998E-2</v>
      </c>
      <c r="M266" s="8">
        <v>-2.06E-2</v>
      </c>
      <c r="N266" s="7">
        <v>3.0000000000000165E-4</v>
      </c>
      <c r="O266" s="7">
        <v>7.3000000000000009E-3</v>
      </c>
      <c r="P266" s="7">
        <v>3.4500000000000003E-2</v>
      </c>
      <c r="Q266" s="7">
        <v>2.8169014084507005E-3</v>
      </c>
      <c r="R266" s="7">
        <v>-7.5469999999999999E-3</v>
      </c>
      <c r="S266" s="7">
        <v>5.3E-3</v>
      </c>
    </row>
    <row r="267" spans="1:19" x14ac:dyDescent="0.3">
      <c r="A267" s="3">
        <v>196902</v>
      </c>
      <c r="B267" s="6">
        <f t="shared" si="8"/>
        <v>-4.7832082563501209E-2</v>
      </c>
      <c r="C267" s="4">
        <f t="shared" si="9"/>
        <v>-4.6920999999999997E-2</v>
      </c>
      <c r="D267" s="5">
        <v>3.1488841332925711E-2</v>
      </c>
      <c r="E267" s="5">
        <v>2.9997087661392096E-2</v>
      </c>
      <c r="F267" s="7">
        <v>5.910526852134923E-2</v>
      </c>
      <c r="G267" s="7">
        <v>0.53275862068965518</v>
      </c>
      <c r="H267" s="7">
        <v>5.9559625287502029E-4</v>
      </c>
      <c r="I267" s="7">
        <v>0.52639718960241266</v>
      </c>
      <c r="J267" s="7">
        <v>4.1317330574563146E-2</v>
      </c>
      <c r="K267" s="8">
        <v>6.1200000000000004E-2</v>
      </c>
      <c r="L267" s="8">
        <v>6.1800000000000001E-2</v>
      </c>
      <c r="M267" s="8">
        <v>4.1999999999999997E-3</v>
      </c>
      <c r="N267" s="7">
        <v>5.9999999999999637E-4</v>
      </c>
      <c r="O267" s="7">
        <v>6.399999999999989E-3</v>
      </c>
      <c r="P267" s="7">
        <v>-2.0199999999999999E-2</v>
      </c>
      <c r="Q267" s="7">
        <v>5.6179775280897903E-3</v>
      </c>
      <c r="R267" s="7">
        <v>-4.2320999999999998E-2</v>
      </c>
      <c r="S267" s="7">
        <v>4.5999999999999999E-3</v>
      </c>
    </row>
    <row r="268" spans="1:19" x14ac:dyDescent="0.3">
      <c r="A268" s="3">
        <v>196903</v>
      </c>
      <c r="B268" s="6">
        <f t="shared" si="8"/>
        <v>2.9664137369215818E-2</v>
      </c>
      <c r="C268" s="4">
        <f t="shared" si="9"/>
        <v>3.0247000000000003E-2</v>
      </c>
      <c r="D268" s="5">
        <v>3.0538863166190523E-2</v>
      </c>
      <c r="E268" s="5">
        <v>3.1590746968307347E-2</v>
      </c>
      <c r="F268" s="7">
        <v>5.7334252782977047E-2</v>
      </c>
      <c r="G268" s="7">
        <v>0.53264604810996563</v>
      </c>
      <c r="H268" s="7">
        <v>5.4163102578199133E-4</v>
      </c>
      <c r="I268" s="7">
        <v>0.5570402360285629</v>
      </c>
      <c r="J268" s="7">
        <v>3.9508004035486717E-2</v>
      </c>
      <c r="K268" s="8">
        <v>6.0199999999999997E-2</v>
      </c>
      <c r="L268" s="8">
        <v>6.2E-2</v>
      </c>
      <c r="M268" s="8">
        <v>1E-3</v>
      </c>
      <c r="N268" s="7">
        <v>1.800000000000003E-3</v>
      </c>
      <c r="O268" s="7">
        <v>6.6000000000000086E-3</v>
      </c>
      <c r="P268" s="7">
        <v>-2.1000000000000001E-2</v>
      </c>
      <c r="Q268" s="7">
        <v>8.379888268156499E-3</v>
      </c>
      <c r="R268" s="7">
        <v>3.4847000000000003E-2</v>
      </c>
      <c r="S268" s="7">
        <v>4.5999999999999999E-3</v>
      </c>
    </row>
    <row r="269" spans="1:19" x14ac:dyDescent="0.3">
      <c r="A269" s="3">
        <v>196904</v>
      </c>
      <c r="B269" s="6">
        <f t="shared" si="8"/>
        <v>1.7229606064384093E-2</v>
      </c>
      <c r="C269" s="4">
        <f t="shared" si="9"/>
        <v>1.7471E-2</v>
      </c>
      <c r="D269" s="5">
        <v>2.9993249107917831E-2</v>
      </c>
      <c r="E269" s="5">
        <v>3.0637375628016942E-2</v>
      </c>
      <c r="F269" s="7">
        <v>5.6193171954865465E-2</v>
      </c>
      <c r="G269" s="7">
        <v>0.53375255506146735</v>
      </c>
      <c r="H269" s="7">
        <v>5.5041221587038994E-4</v>
      </c>
      <c r="I269" s="7">
        <v>0.54842240417605093</v>
      </c>
      <c r="J269" s="7">
        <v>4.429095184560803E-2</v>
      </c>
      <c r="K269" s="8">
        <v>6.1100000000000002E-2</v>
      </c>
      <c r="L269" s="8">
        <v>5.9299999999999999E-2</v>
      </c>
      <c r="M269" s="8">
        <v>4.2700000000000002E-2</v>
      </c>
      <c r="N269" s="7">
        <v>-1.800000000000003E-3</v>
      </c>
      <c r="O269" s="7">
        <v>6.4999999999999919E-3</v>
      </c>
      <c r="P269" s="7">
        <v>-9.1999999999999998E-3</v>
      </c>
      <c r="Q269" s="7">
        <v>5.5401662049860967E-3</v>
      </c>
      <c r="R269" s="7">
        <v>2.2771E-2</v>
      </c>
      <c r="S269" s="7">
        <v>5.3E-3</v>
      </c>
    </row>
    <row r="270" spans="1:19" x14ac:dyDescent="0.3">
      <c r="A270" s="3">
        <v>196905</v>
      </c>
      <c r="B270" s="6">
        <f t="shared" si="8"/>
        <v>-9.4192436322285394E-4</v>
      </c>
      <c r="C270" s="4">
        <f t="shared" si="9"/>
        <v>-9.4599999999999979E-4</v>
      </c>
      <c r="D270" s="5">
        <v>3.0156582254011216E-2</v>
      </c>
      <c r="E270" s="5">
        <v>3.0089690423377377E-2</v>
      </c>
      <c r="F270" s="7">
        <v>5.6382466653779245E-2</v>
      </c>
      <c r="G270" s="7">
        <v>0.53485744848997052</v>
      </c>
      <c r="H270" s="7">
        <v>4.2689743733280905E-4</v>
      </c>
      <c r="I270" s="7">
        <v>0.55580442851657497</v>
      </c>
      <c r="J270" s="7">
        <v>4.4005603218554727E-2</v>
      </c>
      <c r="K270" s="8">
        <v>6.0400000000000002E-2</v>
      </c>
      <c r="L270" s="8">
        <v>6.3500000000000001E-2</v>
      </c>
      <c r="M270" s="8">
        <v>-4.9000000000000002E-2</v>
      </c>
      <c r="N270" s="7">
        <v>3.0999999999999986E-3</v>
      </c>
      <c r="O270" s="7">
        <v>7.2999999999999871E-3</v>
      </c>
      <c r="P270" s="7">
        <v>2.63E-2</v>
      </c>
      <c r="Q270" s="7">
        <v>2.7548209366392573E-3</v>
      </c>
      <c r="R270" s="7">
        <v>3.8539999999999998E-3</v>
      </c>
      <c r="S270" s="7">
        <v>4.7999999999999996E-3</v>
      </c>
    </row>
    <row r="271" spans="1:19" x14ac:dyDescent="0.3">
      <c r="A271" s="3">
        <v>196906</v>
      </c>
      <c r="B271" s="6">
        <f t="shared" si="8"/>
        <v>-6.0977198639495529E-2</v>
      </c>
      <c r="C271" s="4">
        <f t="shared" si="9"/>
        <v>-5.9457000000000003E-2</v>
      </c>
      <c r="D271" s="5">
        <v>3.2033568723774435E-2</v>
      </c>
      <c r="E271" s="5">
        <v>3.0253237966363814E-2</v>
      </c>
      <c r="F271" s="7">
        <v>5.9768703305700548E-2</v>
      </c>
      <c r="G271" s="7">
        <v>0.53595890410958902</v>
      </c>
      <c r="H271" s="7">
        <v>7.5223691423207664E-4</v>
      </c>
      <c r="I271" s="7">
        <v>0.596777333684536</v>
      </c>
      <c r="J271" s="7">
        <v>4.5152716916085092E-2</v>
      </c>
      <c r="K271" s="8">
        <v>6.4399999999999999E-2</v>
      </c>
      <c r="L271" s="8">
        <v>6.2300000000000001E-2</v>
      </c>
      <c r="M271" s="8">
        <v>2.1399999999999999E-2</v>
      </c>
      <c r="N271" s="7">
        <v>-2.0999999999999977E-3</v>
      </c>
      <c r="O271" s="7">
        <v>7.1999999999999981E-3</v>
      </c>
      <c r="P271" s="7">
        <v>-1.7899999999999999E-2</v>
      </c>
      <c r="Q271" s="7">
        <v>5.494505494505475E-3</v>
      </c>
      <c r="R271" s="7">
        <v>-5.4357000000000003E-2</v>
      </c>
      <c r="S271" s="7">
        <v>5.1000000000000004E-3</v>
      </c>
    </row>
    <row r="272" spans="1:19" x14ac:dyDescent="0.3">
      <c r="A272" s="3">
        <v>196907</v>
      </c>
      <c r="B272" s="6">
        <f t="shared" si="8"/>
        <v>-6.570714694898859E-2</v>
      </c>
      <c r="C272" s="4">
        <f t="shared" si="9"/>
        <v>-6.3932000000000003E-2</v>
      </c>
      <c r="D272" s="5">
        <v>3.4157355983883267E-2</v>
      </c>
      <c r="E272" s="5">
        <v>3.2101831951693791E-2</v>
      </c>
      <c r="F272" s="7">
        <v>6.3777305891320926E-2</v>
      </c>
      <c r="G272" s="7">
        <v>0.53557226205335118</v>
      </c>
      <c r="H272" s="7">
        <v>2.3056499844712293E-3</v>
      </c>
      <c r="I272" s="7">
        <v>0.63901798962561474</v>
      </c>
      <c r="J272" s="7">
        <v>5.1160837097309779E-2</v>
      </c>
      <c r="K272" s="8">
        <v>7.0000000000000007E-2</v>
      </c>
      <c r="L272" s="8">
        <v>6.2100000000000002E-2</v>
      </c>
      <c r="M272" s="8">
        <v>7.9000000000000008E-3</v>
      </c>
      <c r="N272" s="7">
        <v>-7.9000000000000042E-3</v>
      </c>
      <c r="O272" s="7">
        <v>7.5999999999999956E-3</v>
      </c>
      <c r="P272" s="7">
        <v>-7.4000000000000003E-3</v>
      </c>
      <c r="Q272" s="7">
        <v>5.4644808743167239E-3</v>
      </c>
      <c r="R272" s="7">
        <v>-5.8631999999999997E-2</v>
      </c>
      <c r="S272" s="7">
        <v>5.3E-3</v>
      </c>
    </row>
    <row r="273" spans="1:19" x14ac:dyDescent="0.3">
      <c r="A273" s="3">
        <v>196908</v>
      </c>
      <c r="B273" s="6">
        <f t="shared" si="8"/>
        <v>3.9725752074968639E-2</v>
      </c>
      <c r="C273" s="4">
        <f t="shared" si="9"/>
        <v>4.0728E-2</v>
      </c>
      <c r="D273" s="5">
        <v>3.2911004083342056E-2</v>
      </c>
      <c r="E273" s="5">
        <v>3.4229881302406624E-2</v>
      </c>
      <c r="F273" s="7">
        <v>6.1494398492304467E-2</v>
      </c>
      <c r="G273" s="7">
        <v>0.53518702337515511</v>
      </c>
      <c r="H273" s="7">
        <v>9.1823381332640141E-4</v>
      </c>
      <c r="I273" s="7">
        <v>0.62278898556267326</v>
      </c>
      <c r="J273" s="7">
        <v>4.6914706347000991E-2</v>
      </c>
      <c r="K273" s="8">
        <v>6.9800000000000001E-2</v>
      </c>
      <c r="L273" s="8">
        <v>6.3E-2</v>
      </c>
      <c r="M273" s="8">
        <v>-6.8999999999999999E-3</v>
      </c>
      <c r="N273" s="7">
        <v>-6.8000000000000005E-3</v>
      </c>
      <c r="O273" s="7">
        <v>8.9000000000000051E-3</v>
      </c>
      <c r="P273" s="7">
        <v>4.8999999999999998E-3</v>
      </c>
      <c r="Q273" s="7">
        <v>5.4347826086957873E-3</v>
      </c>
      <c r="R273" s="7">
        <v>4.5727999999999998E-2</v>
      </c>
      <c r="S273" s="7">
        <v>5.0000000000000001E-3</v>
      </c>
    </row>
    <row r="274" spans="1:19" x14ac:dyDescent="0.3">
      <c r="A274" s="3">
        <v>196909</v>
      </c>
      <c r="B274" s="6">
        <f t="shared" si="8"/>
        <v>-3.0413102651530691E-2</v>
      </c>
      <c r="C274" s="4">
        <f t="shared" si="9"/>
        <v>-3.0141000000000001E-2</v>
      </c>
      <c r="D274" s="5">
        <v>3.3827319587628864E-2</v>
      </c>
      <c r="E274" s="5">
        <v>3.2980839702648937E-2</v>
      </c>
      <c r="F274" s="7">
        <v>6.3251718213058417E-2</v>
      </c>
      <c r="G274" s="7">
        <v>0.53480475382003401</v>
      </c>
      <c r="H274" s="7">
        <v>8.9158784761207807E-4</v>
      </c>
      <c r="I274" s="7">
        <v>0.64088846253182308</v>
      </c>
      <c r="J274" s="7">
        <v>4.8391178940289901E-2</v>
      </c>
      <c r="K274" s="8">
        <v>7.0900000000000005E-2</v>
      </c>
      <c r="L274" s="8">
        <v>6.7699999999999996E-2</v>
      </c>
      <c r="M274" s="8">
        <v>-5.3100000000000001E-2</v>
      </c>
      <c r="N274" s="7">
        <v>-3.2000000000000084E-3</v>
      </c>
      <c r="O274" s="7">
        <v>9.1000000000000109E-3</v>
      </c>
      <c r="P274" s="7">
        <v>2.87E-2</v>
      </c>
      <c r="Q274" s="7">
        <v>2.7027027027026751E-3</v>
      </c>
      <c r="R274" s="7">
        <v>-2.3941E-2</v>
      </c>
      <c r="S274" s="7">
        <v>6.1999999999999998E-3</v>
      </c>
    </row>
    <row r="275" spans="1:19" x14ac:dyDescent="0.3">
      <c r="A275" s="3">
        <v>196910</v>
      </c>
      <c r="B275" s="6">
        <f t="shared" si="8"/>
        <v>3.9851344665624684E-2</v>
      </c>
      <c r="C275" s="4">
        <f t="shared" si="9"/>
        <v>4.0899999999999999E-2</v>
      </c>
      <c r="D275" s="5">
        <v>3.242832167832168E-2</v>
      </c>
      <c r="E275" s="5">
        <v>3.3863079896907212E-2</v>
      </c>
      <c r="F275" s="7">
        <v>6.0194672974084741E-2</v>
      </c>
      <c r="G275" s="7">
        <v>0.53872411089072381</v>
      </c>
      <c r="H275" s="7">
        <v>7.5372330481159836E-4</v>
      </c>
      <c r="I275" s="7">
        <v>0.60876879402796769</v>
      </c>
      <c r="J275" s="7">
        <v>4.8630240008295945E-2</v>
      </c>
      <c r="K275" s="8">
        <v>7.0000000000000007E-2</v>
      </c>
      <c r="L275" s="8">
        <v>6.5299999999999997E-2</v>
      </c>
      <c r="M275" s="8">
        <v>3.6499999999999998E-2</v>
      </c>
      <c r="N275" s="7">
        <v>-4.7000000000000097E-3</v>
      </c>
      <c r="O275" s="7">
        <v>8.9000000000000051E-3</v>
      </c>
      <c r="P275" s="7">
        <v>-2.3799999999999998E-2</v>
      </c>
      <c r="Q275" s="7">
        <v>5.3908355795146967E-3</v>
      </c>
      <c r="R275" s="7">
        <v>4.6899999999999997E-2</v>
      </c>
      <c r="S275" s="7">
        <v>6.0000000000000001E-3</v>
      </c>
    </row>
    <row r="276" spans="1:19" x14ac:dyDescent="0.3">
      <c r="A276" s="3">
        <v>196911</v>
      </c>
      <c r="B276" s="6">
        <f t="shared" si="8"/>
        <v>-3.4771889281567554E-2</v>
      </c>
      <c r="C276" s="4">
        <f t="shared" si="9"/>
        <v>-3.4352000000000001E-2</v>
      </c>
      <c r="D276" s="5">
        <v>3.3649610915680632E-2</v>
      </c>
      <c r="E276" s="5">
        <v>3.2462669683257922E-2</v>
      </c>
      <c r="F276" s="7">
        <v>6.2004796929964821E-2</v>
      </c>
      <c r="G276" s="7">
        <v>0.54269367180878403</v>
      </c>
      <c r="H276" s="7">
        <v>5.0913619698213935E-4</v>
      </c>
      <c r="I276" s="7">
        <v>0.64151175674012073</v>
      </c>
      <c r="J276" s="7">
        <v>4.7903885528108425E-2</v>
      </c>
      <c r="K276" s="8">
        <v>7.2400000000000006E-2</v>
      </c>
      <c r="L276" s="8">
        <v>6.7599999999999993E-2</v>
      </c>
      <c r="M276" s="8">
        <v>-2.4299999999999999E-2</v>
      </c>
      <c r="N276" s="7">
        <v>-4.8000000000000126E-3</v>
      </c>
      <c r="O276" s="7">
        <v>9.000000000000008E-3</v>
      </c>
      <c r="P276" s="7">
        <v>-2.2800000000000004E-2</v>
      </c>
      <c r="Q276" s="7">
        <v>5.3619302949061698E-3</v>
      </c>
      <c r="R276" s="7">
        <v>-2.9152000000000001E-2</v>
      </c>
      <c r="S276" s="7">
        <v>5.1999999999999998E-3</v>
      </c>
    </row>
    <row r="277" spans="1:19" x14ac:dyDescent="0.3">
      <c r="A277" s="3">
        <v>196912</v>
      </c>
      <c r="B277" s="6">
        <f t="shared" si="8"/>
        <v>-2.3446420015128144E-2</v>
      </c>
      <c r="C277" s="4">
        <f t="shared" si="9"/>
        <v>-2.3321999999999999E-2</v>
      </c>
      <c r="D277" s="5">
        <v>3.4325439930480123E-2</v>
      </c>
      <c r="E277" s="5">
        <v>3.3685108197420321E-2</v>
      </c>
      <c r="F277" s="7">
        <v>6.2785140126004779E-2</v>
      </c>
      <c r="G277" s="7">
        <v>0.54671280276816614</v>
      </c>
      <c r="H277" s="7">
        <v>1.1635548351533978E-3</v>
      </c>
      <c r="I277" s="7">
        <v>0.65108201309410763</v>
      </c>
      <c r="J277" s="7">
        <v>3.4273783253736187E-2</v>
      </c>
      <c r="K277" s="8">
        <v>7.8200000000000006E-2</v>
      </c>
      <c r="L277" s="8">
        <v>6.8699999999999997E-2</v>
      </c>
      <c r="M277" s="8">
        <v>-6.7999999999999996E-3</v>
      </c>
      <c r="N277" s="7">
        <v>-9.5000000000000084E-3</v>
      </c>
      <c r="O277" s="7">
        <v>9.3000000000000166E-3</v>
      </c>
      <c r="P277" s="7">
        <v>-6.6000000000000008E-3</v>
      </c>
      <c r="Q277" s="7">
        <v>5.3333333333334121E-3</v>
      </c>
      <c r="R277" s="7">
        <v>-1.6922E-2</v>
      </c>
      <c r="S277" s="7">
        <v>6.4000000000000003E-3</v>
      </c>
    </row>
    <row r="278" spans="1:19" x14ac:dyDescent="0.3">
      <c r="A278" s="3">
        <v>197001</v>
      </c>
      <c r="B278" s="6">
        <f t="shared" si="8"/>
        <v>-8.4373976010343202E-2</v>
      </c>
      <c r="C278" s="4">
        <f t="shared" si="9"/>
        <v>-8.1398000000000012E-2</v>
      </c>
      <c r="D278" s="5">
        <v>3.7206892495883326E-2</v>
      </c>
      <c r="E278" s="5">
        <v>3.4361611992179013E-2</v>
      </c>
      <c r="F278" s="7">
        <v>6.7395906845448134E-2</v>
      </c>
      <c r="G278" s="7">
        <v>0.55206457242582896</v>
      </c>
      <c r="H278" s="7">
        <v>1.0670972712180629E-3</v>
      </c>
      <c r="I278" s="7">
        <v>0.70034674623014281</v>
      </c>
      <c r="J278" s="7">
        <v>3.4473207921512067E-2</v>
      </c>
      <c r="K278" s="8">
        <v>7.8700000000000006E-2</v>
      </c>
      <c r="L278" s="8">
        <v>6.93E-2</v>
      </c>
      <c r="M278" s="8">
        <v>-2.0999999999999999E-3</v>
      </c>
      <c r="N278" s="7">
        <v>-9.4000000000000056E-3</v>
      </c>
      <c r="O278" s="7">
        <v>9.4999999999999946E-3</v>
      </c>
      <c r="P278" s="7">
        <v>1.6199999999999999E-2</v>
      </c>
      <c r="Q278" s="7">
        <v>2.6525198938991412E-3</v>
      </c>
      <c r="R278" s="7">
        <v>-7.5398000000000007E-2</v>
      </c>
      <c r="S278" s="7">
        <v>6.0000000000000001E-3</v>
      </c>
    </row>
    <row r="279" spans="1:19" x14ac:dyDescent="0.3">
      <c r="A279" s="3">
        <v>197002</v>
      </c>
      <c r="B279" s="6">
        <f t="shared" si="8"/>
        <v>5.1636060124836083E-2</v>
      </c>
      <c r="C279" s="4">
        <f t="shared" si="9"/>
        <v>5.3321E-2</v>
      </c>
      <c r="D279" s="5">
        <v>3.5381787709497202E-2</v>
      </c>
      <c r="E279" s="5">
        <v>3.7246177370030581E-2</v>
      </c>
      <c r="F279" s="7">
        <v>6.3463687150837986E-2</v>
      </c>
      <c r="G279" s="7">
        <v>0.55751232394366201</v>
      </c>
      <c r="H279" s="7">
        <v>1.0587117306881857E-3</v>
      </c>
      <c r="I279" s="7">
        <v>0.67014750704098558</v>
      </c>
      <c r="J279" s="7">
        <v>3.5855215274285999E-2</v>
      </c>
      <c r="K279" s="8">
        <v>7.1300000000000002E-2</v>
      </c>
      <c r="L279" s="8">
        <v>6.5100000000000005E-2</v>
      </c>
      <c r="M279" s="8">
        <v>5.8700000000000002E-2</v>
      </c>
      <c r="N279" s="7">
        <v>-6.1999999999999972E-3</v>
      </c>
      <c r="O279" s="7">
        <v>8.4999999999999937E-3</v>
      </c>
      <c r="P279" s="7">
        <v>-1.8600000000000005E-2</v>
      </c>
      <c r="Q279" s="7">
        <v>5.2910052910053462E-3</v>
      </c>
      <c r="R279" s="7">
        <v>5.9520999999999998E-2</v>
      </c>
      <c r="S279" s="7">
        <v>6.1999999999999998E-3</v>
      </c>
    </row>
    <row r="280" spans="1:19" x14ac:dyDescent="0.3">
      <c r="A280" s="3">
        <v>197003</v>
      </c>
      <c r="B280" s="6">
        <f t="shared" si="8"/>
        <v>-2.8817459372872437E-3</v>
      </c>
      <c r="C280" s="4">
        <f t="shared" si="9"/>
        <v>-2.8939999999999994E-3</v>
      </c>
      <c r="D280" s="5">
        <v>3.5367622447841127E-2</v>
      </c>
      <c r="E280" s="5">
        <v>3.5418994413407817E-2</v>
      </c>
      <c r="F280" s="7">
        <v>6.2813790025661051E-2</v>
      </c>
      <c r="G280" s="7">
        <v>0.56305506216696266</v>
      </c>
      <c r="H280" s="7">
        <v>9.6353899708931108E-4</v>
      </c>
      <c r="I280" s="7">
        <v>0.69032676909759783</v>
      </c>
      <c r="J280" s="7">
        <v>3.5841581177216954E-2</v>
      </c>
      <c r="K280" s="8">
        <v>6.6299999999999998E-2</v>
      </c>
      <c r="L280" s="8">
        <v>6.6100000000000006E-2</v>
      </c>
      <c r="M280" s="8">
        <v>-6.7999999999999996E-3</v>
      </c>
      <c r="N280" s="7">
        <v>-1.9999999999999185E-4</v>
      </c>
      <c r="O280" s="7">
        <v>7.9000000000000042E-3</v>
      </c>
      <c r="P280" s="7">
        <v>2.3E-3</v>
      </c>
      <c r="Q280" s="7">
        <v>5.2631578947368585E-3</v>
      </c>
      <c r="R280" s="7">
        <v>2.8059999999999999E-3</v>
      </c>
      <c r="S280" s="7">
        <v>5.6999999999999993E-3</v>
      </c>
    </row>
    <row r="281" spans="1:19" x14ac:dyDescent="0.3">
      <c r="A281" s="3">
        <v>197004</v>
      </c>
      <c r="B281" s="6">
        <f t="shared" si="8"/>
        <v>-9.8014430010048406E-2</v>
      </c>
      <c r="C281" s="4">
        <f t="shared" si="9"/>
        <v>-9.3830999999999998E-2</v>
      </c>
      <c r="D281" s="5">
        <v>3.8927011776251227E-2</v>
      </c>
      <c r="E281" s="5">
        <v>3.5404775186879393E-2</v>
      </c>
      <c r="F281" s="7">
        <v>6.8612978410206082E-2</v>
      </c>
      <c r="G281" s="7">
        <v>0.5673418160559095</v>
      </c>
      <c r="H281" s="7">
        <v>1.6146769913286704E-3</v>
      </c>
      <c r="I281" s="7">
        <v>0.73675058078715328</v>
      </c>
      <c r="J281" s="7">
        <v>3.5712124826752713E-2</v>
      </c>
      <c r="K281" s="8">
        <v>6.5099999999999991E-2</v>
      </c>
      <c r="L281" s="8">
        <v>6.9900000000000004E-2</v>
      </c>
      <c r="M281" s="8">
        <v>-4.1300000000000003E-2</v>
      </c>
      <c r="N281" s="7">
        <v>4.8000000000000126E-3</v>
      </c>
      <c r="O281" s="7">
        <v>8.6999999999999994E-3</v>
      </c>
      <c r="P281" s="7">
        <v>1.6300000000000002E-2</v>
      </c>
      <c r="Q281" s="7">
        <v>7.8534031413610705E-3</v>
      </c>
      <c r="R281" s="7">
        <v>-8.8830999999999993E-2</v>
      </c>
      <c r="S281" s="7">
        <v>5.0000000000000001E-3</v>
      </c>
    </row>
    <row r="282" spans="1:19" x14ac:dyDescent="0.3">
      <c r="A282" s="3">
        <v>197005</v>
      </c>
      <c r="B282" s="6">
        <f t="shared" si="8"/>
        <v>-6.1527309530231944E-2</v>
      </c>
      <c r="C282" s="4">
        <f t="shared" si="9"/>
        <v>-5.9989000000000001E-2</v>
      </c>
      <c r="D282" s="5">
        <v>4.1497975179621165E-2</v>
      </c>
      <c r="E282" s="5">
        <v>3.8967983316977435E-2</v>
      </c>
      <c r="F282" s="7">
        <v>7.2588765512736783E-2</v>
      </c>
      <c r="G282" s="7">
        <v>0.57168591980448724</v>
      </c>
      <c r="H282" s="7">
        <v>8.1518544250658888E-3</v>
      </c>
      <c r="I282" s="7">
        <v>0.77422762834789549</v>
      </c>
      <c r="J282" s="7">
        <v>3.8661030281038851E-2</v>
      </c>
      <c r="K282" s="8">
        <v>6.8400000000000002E-2</v>
      </c>
      <c r="L282" s="8">
        <v>7.4300000000000005E-2</v>
      </c>
      <c r="M282" s="8">
        <v>-4.6800000000000001E-2</v>
      </c>
      <c r="N282" s="7">
        <v>5.9000000000000025E-3</v>
      </c>
      <c r="O282" s="7">
        <v>8.7000000000000133E-3</v>
      </c>
      <c r="P282" s="7">
        <v>3.0500000000000003E-2</v>
      </c>
      <c r="Q282" s="7">
        <v>2.5974025974027093E-3</v>
      </c>
      <c r="R282" s="7">
        <v>-5.4689000000000002E-2</v>
      </c>
      <c r="S282" s="7">
        <v>5.3E-3</v>
      </c>
    </row>
    <row r="283" spans="1:19" x14ac:dyDescent="0.3">
      <c r="A283" s="3">
        <v>197006</v>
      </c>
      <c r="B283" s="6">
        <f t="shared" si="8"/>
        <v>-5.6058110549353911E-2</v>
      </c>
      <c r="C283" s="4">
        <f t="shared" si="9"/>
        <v>-5.4831999999999999E-2</v>
      </c>
      <c r="D283" s="5">
        <v>4.3729372937293731E-2</v>
      </c>
      <c r="E283" s="5">
        <v>4.154147615937296E-2</v>
      </c>
      <c r="F283" s="7">
        <v>7.5907590759075896E-2</v>
      </c>
      <c r="G283" s="7">
        <v>0.57608695652173925</v>
      </c>
      <c r="H283" s="7">
        <v>2.6519110173923743E-3</v>
      </c>
      <c r="I283" s="7">
        <v>0.79338141705557907</v>
      </c>
      <c r="J283" s="7">
        <v>4.2290748025659436E-2</v>
      </c>
      <c r="K283" s="8">
        <v>6.6799999999999998E-2</v>
      </c>
      <c r="L283" s="8">
        <v>7.0900000000000005E-2</v>
      </c>
      <c r="M283" s="8">
        <v>4.8599999999999997E-2</v>
      </c>
      <c r="N283" s="7">
        <v>4.1000000000000064E-3</v>
      </c>
      <c r="O283" s="7">
        <v>7.6999999999999985E-3</v>
      </c>
      <c r="P283" s="7">
        <v>-4.8499999999999995E-2</v>
      </c>
      <c r="Q283" s="7">
        <v>5.1813471502588637E-3</v>
      </c>
      <c r="R283" s="7">
        <v>-4.9031999999999999E-2</v>
      </c>
      <c r="S283" s="7">
        <v>5.7999999999999996E-3</v>
      </c>
    </row>
    <row r="284" spans="1:19" x14ac:dyDescent="0.3">
      <c r="A284" s="3">
        <v>197007</v>
      </c>
      <c r="B284" s="6">
        <f t="shared" si="8"/>
        <v>6.7620528211821629E-2</v>
      </c>
      <c r="C284" s="4">
        <f t="shared" si="9"/>
        <v>7.0323000000000011E-2</v>
      </c>
      <c r="D284" s="5">
        <v>4.0785778347213329E-2</v>
      </c>
      <c r="E284" s="5">
        <v>4.3775165016501652E-2</v>
      </c>
      <c r="F284" s="7">
        <v>7.004061499039077E-2</v>
      </c>
      <c r="G284" s="7">
        <v>0.5823161083438364</v>
      </c>
      <c r="H284" s="7">
        <v>2.1264763834538628E-3</v>
      </c>
      <c r="I284" s="7">
        <v>0.73870756824497352</v>
      </c>
      <c r="J284" s="7">
        <v>4.3073821768479313E-2</v>
      </c>
      <c r="K284" s="8">
        <v>6.4500000000000002E-2</v>
      </c>
      <c r="L284" s="8">
        <v>6.8699999999999997E-2</v>
      </c>
      <c r="M284" s="8">
        <v>3.1899999999999998E-2</v>
      </c>
      <c r="N284" s="7">
        <v>4.1999999999999954E-3</v>
      </c>
      <c r="O284" s="7">
        <v>9.6000000000000113E-3</v>
      </c>
      <c r="P284" s="7">
        <v>2.3699999999999999E-2</v>
      </c>
      <c r="Q284" s="7">
        <v>5.1546391752577136E-3</v>
      </c>
      <c r="R284" s="7">
        <v>7.5523000000000007E-2</v>
      </c>
      <c r="S284" s="7">
        <v>5.1999999999999998E-3</v>
      </c>
    </row>
    <row r="285" spans="1:19" x14ac:dyDescent="0.3">
      <c r="A285" s="3">
        <v>197008</v>
      </c>
      <c r="B285" s="6">
        <f t="shared" si="8"/>
        <v>4.3292708814594752E-2</v>
      </c>
      <c r="C285" s="4">
        <f t="shared" si="9"/>
        <v>4.4478000000000004E-2</v>
      </c>
      <c r="D285" s="5">
        <v>3.9090652600588811E-2</v>
      </c>
      <c r="E285" s="5">
        <v>4.0828571428571429E-2</v>
      </c>
      <c r="F285" s="7">
        <v>6.6404931305201184E-2</v>
      </c>
      <c r="G285" s="7">
        <v>0.58867092898456219</v>
      </c>
      <c r="H285" s="7">
        <v>1.8871043050804042E-3</v>
      </c>
      <c r="I285" s="7">
        <v>0.7092782965811294</v>
      </c>
      <c r="J285" s="7">
        <v>3.8729252707560377E-2</v>
      </c>
      <c r="K285" s="8">
        <v>6.4100000000000004E-2</v>
      </c>
      <c r="L285" s="8">
        <v>6.9400000000000003E-2</v>
      </c>
      <c r="M285" s="8">
        <v>-1.9E-3</v>
      </c>
      <c r="N285" s="7">
        <v>5.2999999999999992E-3</v>
      </c>
      <c r="O285" s="7">
        <v>1.3099999999999987E-2</v>
      </c>
      <c r="P285" s="7">
        <v>1.1900000000000001E-2</v>
      </c>
      <c r="Q285" s="7">
        <v>0</v>
      </c>
      <c r="R285" s="7">
        <v>4.9778000000000003E-2</v>
      </c>
      <c r="S285" s="7">
        <v>5.3E-3</v>
      </c>
    </row>
    <row r="286" spans="1:19" x14ac:dyDescent="0.3">
      <c r="A286" s="3">
        <v>197009</v>
      </c>
      <c r="B286" s="6">
        <f t="shared" si="8"/>
        <v>2.8727990277980456E-2</v>
      </c>
      <c r="C286" s="4">
        <f t="shared" si="9"/>
        <v>2.9301999999999995E-2</v>
      </c>
      <c r="D286" s="5">
        <v>3.7881486759292246E-2</v>
      </c>
      <c r="E286" s="5">
        <v>3.9131501472031406E-2</v>
      </c>
      <c r="F286" s="7">
        <v>6.3650397814986354E-2</v>
      </c>
      <c r="G286" s="7">
        <v>0.5951492537313432</v>
      </c>
      <c r="H286" s="7">
        <v>1.0579649322862181E-3</v>
      </c>
      <c r="I286" s="7">
        <v>0.71291476047746749</v>
      </c>
      <c r="J286" s="7">
        <v>3.7942419348084441E-2</v>
      </c>
      <c r="K286" s="8">
        <v>6.1200000000000004E-2</v>
      </c>
      <c r="L286" s="8">
        <v>6.8000000000000005E-2</v>
      </c>
      <c r="M286" s="8">
        <v>2.2800000000000001E-2</v>
      </c>
      <c r="N286" s="7">
        <v>6.8000000000000005E-3</v>
      </c>
      <c r="O286" s="7">
        <v>1.3000000000000012E-2</v>
      </c>
      <c r="P286" s="7">
        <v>-8.9000000000000017E-3</v>
      </c>
      <c r="Q286" s="7">
        <v>5.12820512820511E-3</v>
      </c>
      <c r="R286" s="7">
        <v>3.4701999999999997E-2</v>
      </c>
      <c r="S286" s="7">
        <v>5.4000000000000003E-3</v>
      </c>
    </row>
    <row r="287" spans="1:19" x14ac:dyDescent="0.3">
      <c r="A287" s="3">
        <v>197010</v>
      </c>
      <c r="B287" s="6">
        <f t="shared" si="8"/>
        <v>-1.3662488122849335E-2</v>
      </c>
      <c r="C287" s="4">
        <f t="shared" si="9"/>
        <v>-1.3632E-2</v>
      </c>
      <c r="D287" s="5">
        <v>3.8118078078078078E-2</v>
      </c>
      <c r="E287" s="5">
        <v>3.7683529272057953E-2</v>
      </c>
      <c r="F287" s="7">
        <v>6.3463423423423426E-2</v>
      </c>
      <c r="G287" s="7">
        <v>0.60063066285846234</v>
      </c>
      <c r="H287" s="7">
        <v>1.0433956864619354E-3</v>
      </c>
      <c r="I287" s="7">
        <v>0.71769828350604137</v>
      </c>
      <c r="J287" s="7">
        <v>3.6962491159209604E-2</v>
      </c>
      <c r="K287" s="8">
        <v>5.91E-2</v>
      </c>
      <c r="L287" s="8">
        <v>6.93E-2</v>
      </c>
      <c r="M287" s="8">
        <v>-1.09E-2</v>
      </c>
      <c r="N287" s="7">
        <v>1.0200000000000001E-2</v>
      </c>
      <c r="O287" s="7">
        <v>1.2999999999999998E-2</v>
      </c>
      <c r="P287" s="7">
        <v>1.3000000000000008E-3</v>
      </c>
      <c r="Q287" s="7">
        <v>5.1020408163264808E-3</v>
      </c>
      <c r="R287" s="7">
        <v>-9.0320000000000001E-3</v>
      </c>
      <c r="S287" s="7">
        <v>4.5999999999999999E-3</v>
      </c>
    </row>
    <row r="288" spans="1:19" x14ac:dyDescent="0.3">
      <c r="A288" s="3">
        <v>197011</v>
      </c>
      <c r="B288" s="6">
        <f t="shared" si="8"/>
        <v>4.8370103069493998E-2</v>
      </c>
      <c r="C288" s="4">
        <f t="shared" si="9"/>
        <v>4.9786999999999998E-2</v>
      </c>
      <c r="D288" s="5">
        <v>3.6200344036697245E-2</v>
      </c>
      <c r="E288" s="5">
        <v>3.7917957957957958E-2</v>
      </c>
      <c r="F288" s="7">
        <v>5.9709518348623848E-2</v>
      </c>
      <c r="G288" s="7">
        <v>0.60627425974759297</v>
      </c>
      <c r="H288" s="7">
        <v>8.8545356675132699E-4</v>
      </c>
      <c r="I288" s="7">
        <v>0.68292007203213734</v>
      </c>
      <c r="J288" s="7">
        <v>3.5224928088712512E-2</v>
      </c>
      <c r="K288" s="8">
        <v>5.28E-2</v>
      </c>
      <c r="L288" s="8">
        <v>6.3700000000000007E-2</v>
      </c>
      <c r="M288" s="8">
        <v>7.9100000000000004E-2</v>
      </c>
      <c r="N288" s="7">
        <v>1.0900000000000007E-2</v>
      </c>
      <c r="O288" s="7">
        <v>1.3300000000000006E-2</v>
      </c>
      <c r="P288" s="7">
        <v>-2.0700000000000003E-2</v>
      </c>
      <c r="Q288" s="7">
        <v>5.0761421319798217E-3</v>
      </c>
      <c r="R288" s="7">
        <v>5.4386999999999998E-2</v>
      </c>
      <c r="S288" s="7">
        <v>4.5999999999999999E-3</v>
      </c>
    </row>
    <row r="289" spans="1:19" x14ac:dyDescent="0.3">
      <c r="A289" s="3">
        <v>197012</v>
      </c>
      <c r="B289" s="6">
        <f t="shared" si="8"/>
        <v>5.2835422760248517E-2</v>
      </c>
      <c r="C289" s="4">
        <f t="shared" si="9"/>
        <v>5.4483999999999998E-2</v>
      </c>
      <c r="D289" s="5">
        <v>3.4074877916440587E-2</v>
      </c>
      <c r="E289" s="5">
        <v>3.6009174311926608E-2</v>
      </c>
      <c r="F289" s="7">
        <v>5.5670103092783502E-2</v>
      </c>
      <c r="G289" s="7">
        <v>0.6120857699805069</v>
      </c>
      <c r="H289" s="7">
        <v>5.3519994304607752E-4</v>
      </c>
      <c r="I289" s="7">
        <v>0.64642635769799262</v>
      </c>
      <c r="J289" s="7">
        <v>3.1461707535070153E-2</v>
      </c>
      <c r="K289" s="8">
        <v>4.87E-2</v>
      </c>
      <c r="L289" s="8">
        <v>6.4799999999999996E-2</v>
      </c>
      <c r="M289" s="8">
        <v>-8.3999999999999995E-3</v>
      </c>
      <c r="N289" s="7">
        <v>1.6099999999999996E-2</v>
      </c>
      <c r="O289" s="7">
        <v>1.4799999999999994E-2</v>
      </c>
      <c r="P289" s="7">
        <v>4.5599999999999995E-2</v>
      </c>
      <c r="Q289" s="7">
        <v>5.050505050504972E-3</v>
      </c>
      <c r="R289" s="7">
        <v>5.8684E-2</v>
      </c>
      <c r="S289" s="7">
        <v>4.1999999999999997E-3</v>
      </c>
    </row>
    <row r="290" spans="1:19" x14ac:dyDescent="0.3">
      <c r="A290" s="3">
        <v>197101</v>
      </c>
      <c r="B290" s="6">
        <f t="shared" si="8"/>
        <v>3.8143455264381981E-2</v>
      </c>
      <c r="C290" s="4">
        <f t="shared" si="9"/>
        <v>3.9028E-2</v>
      </c>
      <c r="D290" s="5">
        <v>3.2644972882770129E-2</v>
      </c>
      <c r="E290" s="5">
        <v>3.3966359196961469E-2</v>
      </c>
      <c r="F290" s="7">
        <v>5.3817271589486862E-2</v>
      </c>
      <c r="G290" s="7">
        <v>0.60658914728682167</v>
      </c>
      <c r="H290" s="7">
        <v>5.4103087781340862E-4</v>
      </c>
      <c r="I290" s="7">
        <v>0.62440990213010938</v>
      </c>
      <c r="J290" s="7">
        <v>3.0593130251482494E-2</v>
      </c>
      <c r="K290" s="8">
        <v>4.4400000000000002E-2</v>
      </c>
      <c r="L290" s="8">
        <v>6.1199999999999997E-2</v>
      </c>
      <c r="M290" s="8">
        <v>5.0599999999999999E-2</v>
      </c>
      <c r="N290" s="7">
        <v>1.6799999999999995E-2</v>
      </c>
      <c r="O290" s="7">
        <v>1.3800000000000007E-2</v>
      </c>
      <c r="P290" s="7">
        <v>2.5999999999999981E-3</v>
      </c>
      <c r="Q290" s="7">
        <v>0</v>
      </c>
      <c r="R290" s="7">
        <v>4.2827999999999998E-2</v>
      </c>
      <c r="S290" s="7">
        <v>3.8E-3</v>
      </c>
    </row>
    <row r="291" spans="1:19" x14ac:dyDescent="0.3">
      <c r="A291" s="3">
        <v>197102</v>
      </c>
      <c r="B291" s="6">
        <f t="shared" si="8"/>
        <v>9.9345412496347745E-3</v>
      </c>
      <c r="C291" s="4">
        <f t="shared" si="9"/>
        <v>1.0017000000000002E-2</v>
      </c>
      <c r="D291" s="5">
        <v>3.2248062015503877E-2</v>
      </c>
      <c r="E291" s="5">
        <v>3.2540675844806008E-2</v>
      </c>
      <c r="F291" s="7">
        <v>5.364341085271318E-2</v>
      </c>
      <c r="G291" s="7">
        <v>0.60115606936416177</v>
      </c>
      <c r="H291" s="7">
        <v>4.5145358412709678E-4</v>
      </c>
      <c r="I291" s="7">
        <v>0.61707042317626837</v>
      </c>
      <c r="J291" s="7">
        <v>2.5801375144664285E-2</v>
      </c>
      <c r="K291" s="8">
        <v>3.7000000000000005E-2</v>
      </c>
      <c r="L291" s="8">
        <v>6.2899999999999998E-2</v>
      </c>
      <c r="M291" s="8">
        <v>-1.6299999999999999E-2</v>
      </c>
      <c r="N291" s="7">
        <v>2.5899999999999992E-2</v>
      </c>
      <c r="O291" s="7">
        <v>1.3100000000000001E-2</v>
      </c>
      <c r="P291" s="7">
        <v>-2.0300000000000002E-2</v>
      </c>
      <c r="Q291" s="7">
        <v>2.5125628140703071E-3</v>
      </c>
      <c r="R291" s="7">
        <v>1.3317000000000001E-2</v>
      </c>
      <c r="S291" s="7">
        <v>3.3E-3</v>
      </c>
    </row>
    <row r="292" spans="1:19" x14ac:dyDescent="0.3">
      <c r="A292" s="3">
        <v>197103</v>
      </c>
      <c r="B292" s="6">
        <f t="shared" si="8"/>
        <v>3.5328648541411926E-2</v>
      </c>
      <c r="C292" s="4">
        <f t="shared" si="9"/>
        <v>3.6067999999999996E-2</v>
      </c>
      <c r="D292" s="5">
        <v>3.1003887947363171E-2</v>
      </c>
      <c r="E292" s="5">
        <v>3.2144702842377262E-2</v>
      </c>
      <c r="F292" s="7">
        <v>5.2038680091715681E-2</v>
      </c>
      <c r="G292" s="7">
        <v>0.59578544061302685</v>
      </c>
      <c r="H292" s="7">
        <v>4.9271943434874281E-4</v>
      </c>
      <c r="I292" s="7">
        <v>0.63381138250937119</v>
      </c>
      <c r="J292" s="7">
        <v>2.6398845213223956E-2</v>
      </c>
      <c r="K292" s="8">
        <v>3.3799999999999997E-2</v>
      </c>
      <c r="L292" s="8">
        <v>5.9299999999999999E-2</v>
      </c>
      <c r="M292" s="8">
        <v>5.2600000000000001E-2</v>
      </c>
      <c r="N292" s="7">
        <v>2.5500000000000002E-2</v>
      </c>
      <c r="O292" s="7">
        <v>1.2500000000000011E-2</v>
      </c>
      <c r="P292" s="7">
        <v>-2.6800000000000001E-2</v>
      </c>
      <c r="Q292" s="7">
        <v>2.5062656641603454E-3</v>
      </c>
      <c r="R292" s="7">
        <v>3.9067999999999999E-2</v>
      </c>
      <c r="S292" s="7">
        <v>3.0000000000000001E-3</v>
      </c>
    </row>
    <row r="293" spans="1:19" x14ac:dyDescent="0.3">
      <c r="A293" s="3">
        <v>197104</v>
      </c>
      <c r="B293" s="6">
        <f t="shared" si="8"/>
        <v>3.3502090170404064E-2</v>
      </c>
      <c r="C293" s="4">
        <f t="shared" si="9"/>
        <v>3.4165000000000001E-2</v>
      </c>
      <c r="D293" s="5">
        <v>2.9886195286195284E-2</v>
      </c>
      <c r="E293" s="5">
        <v>3.0970690858339145E-2</v>
      </c>
      <c r="F293" s="7">
        <v>5.0537085137085137E-2</v>
      </c>
      <c r="G293" s="7">
        <v>0.59137156812916758</v>
      </c>
      <c r="H293" s="7">
        <v>3.0755491678397261E-4</v>
      </c>
      <c r="I293" s="7">
        <v>0.60865410140695519</v>
      </c>
      <c r="J293" s="7">
        <v>2.6556999938894904E-2</v>
      </c>
      <c r="K293" s="8">
        <v>3.8599999999999995E-2</v>
      </c>
      <c r="L293" s="8">
        <v>6.1899999999999997E-2</v>
      </c>
      <c r="M293" s="8">
        <v>-2.8299999999999999E-2</v>
      </c>
      <c r="N293" s="7">
        <v>2.3300000000000001E-2</v>
      </c>
      <c r="O293" s="7">
        <v>1.1999999999999997E-2</v>
      </c>
      <c r="P293" s="7">
        <v>4.6999999999999993E-3</v>
      </c>
      <c r="Q293" s="7">
        <v>2.4999999999999467E-3</v>
      </c>
      <c r="R293" s="7">
        <v>3.6964999999999998E-2</v>
      </c>
      <c r="S293" s="7">
        <v>2.8000000000000004E-3</v>
      </c>
    </row>
    <row r="294" spans="1:19" x14ac:dyDescent="0.3">
      <c r="A294" s="3">
        <v>197105</v>
      </c>
      <c r="B294" s="6">
        <f t="shared" si="8"/>
        <v>-4.0753445668265685E-2</v>
      </c>
      <c r="C294" s="4">
        <f t="shared" si="9"/>
        <v>-4.0050000000000002E-2</v>
      </c>
      <c r="D294" s="5">
        <v>3.1148549633644489E-2</v>
      </c>
      <c r="E294" s="5">
        <v>2.9854064454064456E-2</v>
      </c>
      <c r="F294" s="7">
        <v>5.3063033222924827E-2</v>
      </c>
      <c r="G294" s="7">
        <v>0.58701034866938928</v>
      </c>
      <c r="H294" s="7">
        <v>5.392762551897826E-4</v>
      </c>
      <c r="I294" s="7">
        <v>0.63140965620559375</v>
      </c>
      <c r="J294" s="7">
        <v>2.9722592982396885E-2</v>
      </c>
      <c r="K294" s="8">
        <v>4.1399999999999999E-2</v>
      </c>
      <c r="L294" s="8">
        <v>6.2399999999999997E-2</v>
      </c>
      <c r="M294" s="8">
        <v>-5.9999999999999995E-4</v>
      </c>
      <c r="N294" s="7">
        <v>2.0999999999999998E-2</v>
      </c>
      <c r="O294" s="7">
        <v>1.0899999999999993E-2</v>
      </c>
      <c r="P294" s="7">
        <v>-1.55E-2</v>
      </c>
      <c r="Q294" s="7">
        <v>4.9875311720697368E-3</v>
      </c>
      <c r="R294" s="7">
        <v>-3.7150000000000002E-2</v>
      </c>
      <c r="S294" s="7">
        <v>2.8999999999999998E-3</v>
      </c>
    </row>
    <row r="295" spans="1:19" x14ac:dyDescent="0.3">
      <c r="A295" s="3">
        <v>197106</v>
      </c>
      <c r="B295" s="6">
        <f t="shared" si="8"/>
        <v>-1.2571413706369472E-3</v>
      </c>
      <c r="C295" s="4">
        <f t="shared" si="9"/>
        <v>-1.261E-3</v>
      </c>
      <c r="D295" s="5">
        <v>3.1093279839518557E-2</v>
      </c>
      <c r="E295" s="5">
        <v>3.1115125966074478E-2</v>
      </c>
      <c r="F295" s="7">
        <v>5.3360080240722169E-2</v>
      </c>
      <c r="G295" s="7">
        <v>0.58270676691729317</v>
      </c>
      <c r="H295" s="7">
        <v>9.2453962255326029E-4</v>
      </c>
      <c r="I295" s="7">
        <v>0.64322104270933866</v>
      </c>
      <c r="J295" s="7">
        <v>2.7278516711123232E-2</v>
      </c>
      <c r="K295" s="8">
        <v>4.7500000000000001E-2</v>
      </c>
      <c r="L295" s="8">
        <v>6.4100000000000004E-2</v>
      </c>
      <c r="M295" s="8">
        <v>-1.5900000000000001E-2</v>
      </c>
      <c r="N295" s="7">
        <v>1.6600000000000004E-2</v>
      </c>
      <c r="O295" s="7">
        <v>1.1099999999999999E-2</v>
      </c>
      <c r="P295" s="7">
        <v>2.6599999999999999E-2</v>
      </c>
      <c r="Q295" s="7">
        <v>7.4441687344914964E-3</v>
      </c>
      <c r="R295" s="7">
        <v>2.4390000000000002E-3</v>
      </c>
      <c r="S295" s="7">
        <v>3.7000000000000002E-3</v>
      </c>
    </row>
    <row r="296" spans="1:19" x14ac:dyDescent="0.3">
      <c r="A296" s="3">
        <v>197107</v>
      </c>
      <c r="B296" s="6">
        <f t="shared" si="8"/>
        <v>-4.5675845391592751E-2</v>
      </c>
      <c r="C296" s="4">
        <f t="shared" si="9"/>
        <v>-4.4827000000000006E-2</v>
      </c>
      <c r="D296" s="5">
        <v>3.2398723582339403E-2</v>
      </c>
      <c r="E296" s="5">
        <v>3.1059879638916751E-2</v>
      </c>
      <c r="F296" s="7">
        <v>5.6043837622933669E-2</v>
      </c>
      <c r="G296" s="7">
        <v>0.57809609328183365</v>
      </c>
      <c r="H296" s="7">
        <v>5.1843444907719602E-4</v>
      </c>
      <c r="I296" s="7">
        <v>0.66773062451219101</v>
      </c>
      <c r="J296" s="7">
        <v>2.5796339014432776E-2</v>
      </c>
      <c r="K296" s="8">
        <v>5.4000000000000006E-2</v>
      </c>
      <c r="L296" s="8">
        <v>6.4299999999999996E-2</v>
      </c>
      <c r="M296" s="8">
        <v>3.0000000000000001E-3</v>
      </c>
      <c r="N296" s="7">
        <v>1.029999999999999E-2</v>
      </c>
      <c r="O296" s="7">
        <v>1.1200000000000002E-2</v>
      </c>
      <c r="P296" s="7">
        <v>-5.4999999999999997E-3</v>
      </c>
      <c r="Q296" s="7">
        <v>2.4630541871921707E-3</v>
      </c>
      <c r="R296" s="7">
        <v>-4.0827000000000002E-2</v>
      </c>
      <c r="S296" s="7">
        <v>4.0000000000000001E-3</v>
      </c>
    </row>
    <row r="297" spans="1:19" x14ac:dyDescent="0.3">
      <c r="A297" s="3">
        <v>197108</v>
      </c>
      <c r="B297" s="6">
        <f t="shared" si="8"/>
        <v>3.6487502192580457E-2</v>
      </c>
      <c r="C297" s="4">
        <f t="shared" si="9"/>
        <v>3.7335999999999994E-2</v>
      </c>
      <c r="D297" s="5">
        <v>3.1236292032717355E-2</v>
      </c>
      <c r="E297" s="5">
        <v>3.2363779033270555E-2</v>
      </c>
      <c r="F297" s="7">
        <v>5.4461577299808134E-2</v>
      </c>
      <c r="G297" s="7">
        <v>0.57354732604902725</v>
      </c>
      <c r="H297" s="7">
        <v>2.4512229112138881E-3</v>
      </c>
      <c r="I297" s="7">
        <v>0.63825759684657102</v>
      </c>
      <c r="J297" s="7">
        <v>2.6781976887775307E-2</v>
      </c>
      <c r="K297" s="8">
        <v>4.9400000000000006E-2</v>
      </c>
      <c r="L297" s="8">
        <v>6.0999999999999999E-2</v>
      </c>
      <c r="M297" s="8">
        <v>4.7100000000000003E-2</v>
      </c>
      <c r="N297" s="7">
        <v>1.1599999999999992E-2</v>
      </c>
      <c r="O297" s="7">
        <v>1.1700000000000002E-2</v>
      </c>
      <c r="P297" s="7">
        <v>8.2999999999999949E-3</v>
      </c>
      <c r="Q297" s="7">
        <v>2.4570024570023108E-3</v>
      </c>
      <c r="R297" s="7">
        <v>4.2035999999999997E-2</v>
      </c>
      <c r="S297" s="7">
        <v>4.6999999999999993E-3</v>
      </c>
    </row>
    <row r="298" spans="1:19" x14ac:dyDescent="0.3">
      <c r="A298" s="3">
        <v>197109</v>
      </c>
      <c r="B298" s="6">
        <f t="shared" si="8"/>
        <v>-8.7439053452288262E-3</v>
      </c>
      <c r="C298" s="4">
        <f t="shared" si="9"/>
        <v>-8.7379999999999992E-3</v>
      </c>
      <c r="D298" s="5">
        <v>3.1421598535692492E-2</v>
      </c>
      <c r="E298" s="5">
        <v>3.1202665858830657E-2</v>
      </c>
      <c r="F298" s="7">
        <v>5.5216595485051853E-2</v>
      </c>
      <c r="G298" s="7">
        <v>0.56906077348066297</v>
      </c>
      <c r="H298" s="7">
        <v>5.2426388576752613E-4</v>
      </c>
      <c r="I298" s="7">
        <v>0.64608482963063152</v>
      </c>
      <c r="J298" s="7">
        <v>2.7934432743263227E-2</v>
      </c>
      <c r="K298" s="8">
        <v>4.6900000000000004E-2</v>
      </c>
      <c r="L298" s="8">
        <v>5.9799999999999999E-2</v>
      </c>
      <c r="M298" s="8">
        <v>2.0400000000000001E-2</v>
      </c>
      <c r="N298" s="7">
        <v>1.2899999999999995E-2</v>
      </c>
      <c r="O298" s="7">
        <v>1.1499999999999996E-2</v>
      </c>
      <c r="P298" s="7">
        <v>-3.0600000000000002E-2</v>
      </c>
      <c r="Q298" s="7">
        <v>0</v>
      </c>
      <c r="R298" s="7">
        <v>-5.0379999999999999E-3</v>
      </c>
      <c r="S298" s="7">
        <v>3.7000000000000002E-3</v>
      </c>
    </row>
    <row r="299" spans="1:19" x14ac:dyDescent="0.3">
      <c r="A299" s="3">
        <v>197110</v>
      </c>
      <c r="B299" s="6">
        <f t="shared" si="8"/>
        <v>-4.4649550387001892E-2</v>
      </c>
      <c r="C299" s="4">
        <f t="shared" si="9"/>
        <v>-4.3829E-2</v>
      </c>
      <c r="D299" s="5">
        <v>3.2721320174042237E-2</v>
      </c>
      <c r="E299" s="5">
        <v>3.1353772625584704E-2</v>
      </c>
      <c r="F299" s="7">
        <v>5.8580070041388085E-2</v>
      </c>
      <c r="G299" s="7">
        <v>0.55857427536231896</v>
      </c>
      <c r="H299" s="7">
        <v>6.6193547724545073E-4</v>
      </c>
      <c r="I299" s="7">
        <v>0.68319427890345652</v>
      </c>
      <c r="J299" s="7">
        <v>2.9244002454008079E-2</v>
      </c>
      <c r="K299" s="8">
        <v>4.4600000000000001E-2</v>
      </c>
      <c r="L299" s="8">
        <v>5.8799999999999998E-2</v>
      </c>
      <c r="M299" s="8">
        <v>1.67E-2</v>
      </c>
      <c r="N299" s="7">
        <v>1.4199999999999997E-2</v>
      </c>
      <c r="O299" s="7">
        <v>1.0900000000000007E-2</v>
      </c>
      <c r="P299" s="7">
        <v>1.15E-2</v>
      </c>
      <c r="Q299" s="7">
        <v>2.450980392156854E-3</v>
      </c>
      <c r="R299" s="7">
        <v>-4.0128999999999998E-2</v>
      </c>
      <c r="S299" s="7">
        <v>3.7000000000000002E-3</v>
      </c>
    </row>
    <row r="300" spans="1:19" x14ac:dyDescent="0.3">
      <c r="A300" s="3">
        <v>197111</v>
      </c>
      <c r="B300" s="6">
        <f t="shared" si="8"/>
        <v>-7.9936294435179042E-4</v>
      </c>
      <c r="C300" s="4">
        <f t="shared" si="9"/>
        <v>-8.020000000000002E-4</v>
      </c>
      <c r="D300" s="5">
        <v>3.2734014256835836E-2</v>
      </c>
      <c r="E300" s="5">
        <v>3.2650642046057519E-2</v>
      </c>
      <c r="F300" s="7">
        <v>5.968720076603895E-2</v>
      </c>
      <c r="G300" s="7">
        <v>0.54842602495543669</v>
      </c>
      <c r="H300" s="7">
        <v>1.8662556356896453E-3</v>
      </c>
      <c r="I300" s="7">
        <v>0.68948925830586771</v>
      </c>
      <c r="J300" s="7">
        <v>2.9452087953354137E-2</v>
      </c>
      <c r="K300" s="8">
        <v>4.2199999999999994E-2</v>
      </c>
      <c r="L300" s="8">
        <v>5.96E-2</v>
      </c>
      <c r="M300" s="8">
        <v>-4.7000000000000002E-3</v>
      </c>
      <c r="N300" s="7">
        <v>1.7400000000000006E-2</v>
      </c>
      <c r="O300" s="7">
        <v>1.1200000000000015E-2</v>
      </c>
      <c r="P300" s="7">
        <v>7.6E-3</v>
      </c>
      <c r="Q300" s="7">
        <v>0</v>
      </c>
      <c r="R300" s="7">
        <v>2.898E-3</v>
      </c>
      <c r="S300" s="7">
        <v>3.7000000000000002E-3</v>
      </c>
    </row>
    <row r="301" spans="1:19" x14ac:dyDescent="0.3">
      <c r="A301" s="3">
        <v>197112</v>
      </c>
      <c r="B301" s="6">
        <f t="shared" si="8"/>
        <v>8.0537676395642716E-2</v>
      </c>
      <c r="C301" s="4">
        <f t="shared" si="9"/>
        <v>8.4180000000000005E-2</v>
      </c>
      <c r="D301" s="5">
        <v>3.0071505534332448E-2</v>
      </c>
      <c r="E301" s="5">
        <v>3.2663049260559636E-2</v>
      </c>
      <c r="F301" s="7">
        <v>5.583308845136644E-2</v>
      </c>
      <c r="G301" s="7">
        <v>0.53859649122807018</v>
      </c>
      <c r="H301" s="7">
        <v>1.1829844439591227E-3</v>
      </c>
      <c r="I301" s="7">
        <v>0.64390024713547522</v>
      </c>
      <c r="J301" s="7">
        <v>3.4023346570813601E-2</v>
      </c>
      <c r="K301" s="8">
        <v>4.0099999999999997E-2</v>
      </c>
      <c r="L301" s="8">
        <v>5.9700000000000003E-2</v>
      </c>
      <c r="M301" s="8">
        <v>4.4000000000000003E-3</v>
      </c>
      <c r="N301" s="7">
        <v>1.9600000000000006E-2</v>
      </c>
      <c r="O301" s="7">
        <v>1.1300000000000018E-2</v>
      </c>
      <c r="P301" s="7">
        <v>1.7899999999999999E-2</v>
      </c>
      <c r="Q301" s="7">
        <v>4.8899755501223829E-3</v>
      </c>
      <c r="R301" s="7">
        <v>8.788E-2</v>
      </c>
      <c r="S301" s="7">
        <v>3.7000000000000002E-3</v>
      </c>
    </row>
    <row r="302" spans="1:19" x14ac:dyDescent="0.3">
      <c r="A302" s="3">
        <v>197201</v>
      </c>
      <c r="B302" s="6">
        <f t="shared" si="8"/>
        <v>1.6012306575485764E-2</v>
      </c>
      <c r="C302" s="4">
        <f t="shared" si="9"/>
        <v>1.6188000000000001E-2</v>
      </c>
      <c r="D302" s="5">
        <v>2.9536270925533962E-2</v>
      </c>
      <c r="E302" s="5">
        <v>3.0071505534332448E-2</v>
      </c>
      <c r="F302" s="7">
        <v>5.5192130075043297E-2</v>
      </c>
      <c r="G302" s="7">
        <v>0.53515366928897767</v>
      </c>
      <c r="H302" s="7">
        <v>4.9422474098733673E-4</v>
      </c>
      <c r="I302" s="7">
        <v>0.63535697263265245</v>
      </c>
      <c r="J302" s="7">
        <v>3.307510476080433E-2</v>
      </c>
      <c r="K302" s="8">
        <v>3.3799999999999997E-2</v>
      </c>
      <c r="L302" s="8">
        <v>6.0600000000000001E-2</v>
      </c>
      <c r="M302" s="8">
        <v>-6.3E-3</v>
      </c>
      <c r="N302" s="7">
        <v>2.6800000000000004E-2</v>
      </c>
      <c r="O302" s="7">
        <v>1.0399999999999993E-2</v>
      </c>
      <c r="P302" s="7">
        <v>3.0000000000000001E-3</v>
      </c>
      <c r="Q302" s="7">
        <v>0</v>
      </c>
      <c r="R302" s="7">
        <v>1.9088000000000001E-2</v>
      </c>
      <c r="S302" s="7">
        <v>2.8999999999999998E-3</v>
      </c>
    </row>
    <row r="303" spans="1:19" x14ac:dyDescent="0.3">
      <c r="A303" s="3">
        <v>197202</v>
      </c>
      <c r="B303" s="6">
        <f t="shared" si="8"/>
        <v>2.7276462134382132E-2</v>
      </c>
      <c r="C303" s="4">
        <f t="shared" si="9"/>
        <v>2.7721000000000003E-2</v>
      </c>
      <c r="D303" s="5">
        <v>2.880735666697945E-2</v>
      </c>
      <c r="E303" s="5">
        <v>2.9536270925533962E-2</v>
      </c>
      <c r="F303" s="7">
        <v>5.4174063995495916E-2</v>
      </c>
      <c r="G303" s="7">
        <v>0.53175550332303889</v>
      </c>
      <c r="H303" s="7">
        <v>2.8438442588817503E-4</v>
      </c>
      <c r="I303" s="7">
        <v>0.61758589852714607</v>
      </c>
      <c r="J303" s="7">
        <v>3.3029852221641176E-2</v>
      </c>
      <c r="K303" s="8">
        <v>3.2000000000000001E-2</v>
      </c>
      <c r="L303" s="8">
        <v>6.0199999999999997E-2</v>
      </c>
      <c r="M303" s="8">
        <v>8.8000000000000005E-3</v>
      </c>
      <c r="N303" s="7">
        <v>2.8199999999999996E-2</v>
      </c>
      <c r="O303" s="7">
        <v>9.5999999999999974E-3</v>
      </c>
      <c r="P303" s="7">
        <v>1.8999999999999989E-3</v>
      </c>
      <c r="Q303" s="7">
        <v>4.8661800486617945E-3</v>
      </c>
      <c r="R303" s="7">
        <v>3.0221000000000001E-2</v>
      </c>
      <c r="S303" s="7">
        <v>2.5000000000000001E-3</v>
      </c>
    </row>
    <row r="304" spans="1:19" x14ac:dyDescent="0.3">
      <c r="A304" s="3">
        <v>197203</v>
      </c>
      <c r="B304" s="6">
        <f t="shared" si="8"/>
        <v>4.5920136014386357E-3</v>
      </c>
      <c r="C304" s="4">
        <f t="shared" si="9"/>
        <v>4.6150000000000002E-3</v>
      </c>
      <c r="D304" s="5">
        <v>2.8638059701492535E-2</v>
      </c>
      <c r="E304" s="5">
        <v>2.880735666697945E-2</v>
      </c>
      <c r="F304" s="7">
        <v>5.4197761194029845E-2</v>
      </c>
      <c r="G304" s="7">
        <v>0.52839931153184161</v>
      </c>
      <c r="H304" s="7">
        <v>5.4510436495186238E-4</v>
      </c>
      <c r="I304" s="7">
        <v>0.64590198788136488</v>
      </c>
      <c r="J304" s="7">
        <v>3.1723252314245366E-2</v>
      </c>
      <c r="K304" s="8">
        <v>3.73E-2</v>
      </c>
      <c r="L304" s="8">
        <v>6.13E-2</v>
      </c>
      <c r="M304" s="8">
        <v>-8.2000000000000007E-3</v>
      </c>
      <c r="N304" s="7">
        <v>2.4E-2</v>
      </c>
      <c r="O304" s="7">
        <v>9.999999999999995E-3</v>
      </c>
      <c r="P304" s="7">
        <v>1.06E-2</v>
      </c>
      <c r="Q304" s="7">
        <v>2.421307506053294E-3</v>
      </c>
      <c r="R304" s="7">
        <v>7.3150000000000003E-3</v>
      </c>
      <c r="S304" s="7">
        <v>2.7000000000000001E-3</v>
      </c>
    </row>
    <row r="305" spans="1:19" x14ac:dyDescent="0.3">
      <c r="A305" s="3">
        <v>197204</v>
      </c>
      <c r="B305" s="6">
        <f t="shared" si="8"/>
        <v>2.5652581116529338E-3</v>
      </c>
      <c r="C305" s="4">
        <f t="shared" si="9"/>
        <v>2.5760000000000002E-3</v>
      </c>
      <c r="D305" s="5">
        <v>2.8513049131605829E-2</v>
      </c>
      <c r="E305" s="5">
        <v>2.8638059701492535E-2</v>
      </c>
      <c r="F305" s="7">
        <v>5.4456487415250304E-2</v>
      </c>
      <c r="G305" s="7">
        <v>0.52359324820537134</v>
      </c>
      <c r="H305" s="7">
        <v>3.8339146865483306E-4</v>
      </c>
      <c r="I305" s="7">
        <v>0.63678380162864068</v>
      </c>
      <c r="J305" s="7">
        <v>3.2491878374260152E-2</v>
      </c>
      <c r="K305" s="8">
        <v>3.7100000000000001E-2</v>
      </c>
      <c r="L305" s="8">
        <v>6.1499999999999999E-2</v>
      </c>
      <c r="M305" s="8">
        <v>2.7000000000000001E-3</v>
      </c>
      <c r="N305" s="7">
        <v>2.4399999999999998E-2</v>
      </c>
      <c r="O305" s="7">
        <v>9.4000000000000056E-3</v>
      </c>
      <c r="P305" s="7">
        <v>7.9999999999999993E-4</v>
      </c>
      <c r="Q305" s="7">
        <v>2.4154589371980784E-3</v>
      </c>
      <c r="R305" s="7">
        <v>5.476E-3</v>
      </c>
      <c r="S305" s="7">
        <v>2.8999999999999998E-3</v>
      </c>
    </row>
    <row r="306" spans="1:19" x14ac:dyDescent="0.3">
      <c r="A306" s="3">
        <v>197205</v>
      </c>
      <c r="B306" s="6">
        <f t="shared" si="8"/>
        <v>1.878457362694692E-2</v>
      </c>
      <c r="C306" s="4">
        <f t="shared" si="9"/>
        <v>1.9019000000000001E-2</v>
      </c>
      <c r="D306" s="5">
        <v>2.8028850543230163E-2</v>
      </c>
      <c r="E306" s="5">
        <v>2.8513049131605829E-2</v>
      </c>
      <c r="F306" s="7">
        <v>5.401871633342463E-2</v>
      </c>
      <c r="G306" s="7">
        <v>0.51887294711383258</v>
      </c>
      <c r="H306" s="7">
        <v>7.6905167013708751E-4</v>
      </c>
      <c r="I306" s="7">
        <v>0.63244233491548008</v>
      </c>
      <c r="J306" s="7">
        <v>3.0657128440621892E-2</v>
      </c>
      <c r="K306" s="8">
        <v>3.6900000000000002E-2</v>
      </c>
      <c r="L306" s="8">
        <v>5.9700000000000003E-2</v>
      </c>
      <c r="M306" s="8">
        <v>2.7E-2</v>
      </c>
      <c r="N306" s="7">
        <v>2.2800000000000001E-2</v>
      </c>
      <c r="O306" s="7">
        <v>9.3000000000000027E-3</v>
      </c>
      <c r="P306" s="7">
        <v>-1.0700000000000001E-2</v>
      </c>
      <c r="Q306" s="7">
        <v>2.4096385542169418E-3</v>
      </c>
      <c r="R306" s="7">
        <v>2.2019E-2</v>
      </c>
      <c r="S306" s="7">
        <v>3.0000000000000001E-3</v>
      </c>
    </row>
    <row r="307" spans="1:19" x14ac:dyDescent="0.3">
      <c r="A307" s="3">
        <v>197206</v>
      </c>
      <c r="B307" s="6">
        <f t="shared" si="8"/>
        <v>-2.3257706774079907E-2</v>
      </c>
      <c r="C307" s="4">
        <f t="shared" si="9"/>
        <v>-2.3056E-2</v>
      </c>
      <c r="D307" s="5">
        <v>2.8654097442598468E-2</v>
      </c>
      <c r="E307" s="5">
        <v>2.8028850543230163E-2</v>
      </c>
      <c r="F307" s="7">
        <v>5.5721485906290835E-2</v>
      </c>
      <c r="G307" s="7">
        <v>0.5142378559463987</v>
      </c>
      <c r="H307" s="7">
        <v>3.6535220731591486E-4</v>
      </c>
      <c r="I307" s="7">
        <v>0.65401547850984365</v>
      </c>
      <c r="J307" s="7">
        <v>3.4199455977896032E-2</v>
      </c>
      <c r="K307" s="8">
        <v>3.9100000000000003E-2</v>
      </c>
      <c r="L307" s="8">
        <v>6.0699999999999997E-2</v>
      </c>
      <c r="M307" s="8">
        <v>-6.4999999999999997E-3</v>
      </c>
      <c r="N307" s="7">
        <v>2.1599999999999994E-2</v>
      </c>
      <c r="O307" s="7">
        <v>9.6999999999999864E-3</v>
      </c>
      <c r="P307" s="7">
        <v>-2.9999999999999992E-4</v>
      </c>
      <c r="Q307" s="7">
        <v>2.4038461538462563E-3</v>
      </c>
      <c r="R307" s="7">
        <v>-2.0156E-2</v>
      </c>
      <c r="S307" s="7">
        <v>2.8999999999999998E-3</v>
      </c>
    </row>
    <row r="308" spans="1:19" x14ac:dyDescent="0.3">
      <c r="A308" s="3">
        <v>197207</v>
      </c>
      <c r="B308" s="6">
        <f t="shared" si="8"/>
        <v>1.4454144252587422E-4</v>
      </c>
      <c r="C308" s="4">
        <f t="shared" si="9"/>
        <v>1.4500000000000016E-4</v>
      </c>
      <c r="D308" s="5">
        <v>2.8618400223484493E-2</v>
      </c>
      <c r="E308" s="5">
        <v>2.8685178271420569E-2</v>
      </c>
      <c r="F308" s="7">
        <v>5.6119471086693365E-2</v>
      </c>
      <c r="G308" s="7">
        <v>0.50995491706033347</v>
      </c>
      <c r="H308" s="7">
        <v>5.9548695255956204E-4</v>
      </c>
      <c r="I308" s="7">
        <v>0.65704954906243918</v>
      </c>
      <c r="J308" s="7">
        <v>3.3325155009517382E-2</v>
      </c>
      <c r="K308" s="8">
        <v>3.9800000000000002E-2</v>
      </c>
      <c r="L308" s="8">
        <v>5.9299999999999999E-2</v>
      </c>
      <c r="M308" s="8">
        <v>2.1600000000000001E-2</v>
      </c>
      <c r="N308" s="7">
        <v>1.9499999999999997E-2</v>
      </c>
      <c r="O308" s="7">
        <v>1.0200000000000001E-2</v>
      </c>
      <c r="P308" s="7">
        <v>-1.8600000000000002E-2</v>
      </c>
      <c r="Q308" s="7">
        <v>4.7961630695443347E-3</v>
      </c>
      <c r="R308" s="7">
        <v>3.2450000000000001E-3</v>
      </c>
      <c r="S308" s="7">
        <v>3.0999999999999999E-3</v>
      </c>
    </row>
    <row r="309" spans="1:19" x14ac:dyDescent="0.3">
      <c r="A309" s="3">
        <v>197208</v>
      </c>
      <c r="B309" s="6">
        <f t="shared" si="8"/>
        <v>3.5771872528813406E-2</v>
      </c>
      <c r="C309" s="4">
        <f t="shared" si="9"/>
        <v>3.6525000000000002E-2</v>
      </c>
      <c r="D309" s="5">
        <v>2.7695292105500046E-2</v>
      </c>
      <c r="E309" s="5">
        <v>2.8649501815811527E-2</v>
      </c>
      <c r="F309" s="7">
        <v>5.4760374471149516E-2</v>
      </c>
      <c r="G309" s="7">
        <v>0.50575424972835603</v>
      </c>
      <c r="H309" s="7">
        <v>5.9499865647466793E-4</v>
      </c>
      <c r="I309" s="7">
        <v>0.63046703952351801</v>
      </c>
      <c r="J309" s="7">
        <v>3.1848847714718978E-2</v>
      </c>
      <c r="K309" s="8">
        <v>4.0199999999999993E-2</v>
      </c>
      <c r="L309" s="8">
        <v>5.9499999999999997E-2</v>
      </c>
      <c r="M309" s="8">
        <v>2.8999999999999998E-3</v>
      </c>
      <c r="N309" s="7">
        <v>1.9300000000000005E-2</v>
      </c>
      <c r="O309" s="7">
        <v>9.999999999999995E-3</v>
      </c>
      <c r="P309" s="7">
        <v>4.3E-3</v>
      </c>
      <c r="Q309" s="7">
        <v>2.3866348448686736E-3</v>
      </c>
      <c r="R309" s="7">
        <v>3.9425000000000002E-2</v>
      </c>
      <c r="S309" s="7">
        <v>2.8999999999999998E-3</v>
      </c>
    </row>
    <row r="310" spans="1:19" x14ac:dyDescent="0.3">
      <c r="A310" s="3">
        <v>197209</v>
      </c>
      <c r="B310" s="6">
        <f t="shared" si="8"/>
        <v>-6.676614191693098E-3</v>
      </c>
      <c r="C310" s="4">
        <f t="shared" si="9"/>
        <v>-6.6770000000000006E-3</v>
      </c>
      <c r="D310" s="5">
        <v>2.7860696517412936E-2</v>
      </c>
      <c r="E310" s="5">
        <v>2.7725267800882167E-2</v>
      </c>
      <c r="F310" s="7">
        <v>5.5540479421076434E-2</v>
      </c>
      <c r="G310" s="7">
        <v>0.50162866449511401</v>
      </c>
      <c r="H310" s="7">
        <v>4.6571213962169129E-4</v>
      </c>
      <c r="I310" s="7">
        <v>0.63738500110147178</v>
      </c>
      <c r="J310" s="7">
        <v>3.2869834671684875E-2</v>
      </c>
      <c r="K310" s="8">
        <v>4.6600000000000003E-2</v>
      </c>
      <c r="L310" s="8">
        <v>6.0600000000000001E-2</v>
      </c>
      <c r="M310" s="8">
        <v>-8.3000000000000001E-3</v>
      </c>
      <c r="N310" s="7">
        <v>1.3999999999999999E-2</v>
      </c>
      <c r="O310" s="7">
        <v>8.6999999999999994E-3</v>
      </c>
      <c r="P310" s="7">
        <v>1.14E-2</v>
      </c>
      <c r="Q310" s="7">
        <v>2.3809523809523725E-3</v>
      </c>
      <c r="R310" s="7">
        <v>-3.277E-3</v>
      </c>
      <c r="S310" s="7">
        <v>3.4000000000000002E-3</v>
      </c>
    </row>
    <row r="311" spans="1:19" x14ac:dyDescent="0.3">
      <c r="A311" s="3">
        <v>197210</v>
      </c>
      <c r="B311" s="6">
        <f t="shared" si="8"/>
        <v>6.8272388858879283E-3</v>
      </c>
      <c r="C311" s="4">
        <f t="shared" si="9"/>
        <v>6.8780000000000004E-3</v>
      </c>
      <c r="D311" s="5">
        <v>2.7812600824520525E-2</v>
      </c>
      <c r="E311" s="5">
        <v>2.8071732247851654E-2</v>
      </c>
      <c r="F311" s="7">
        <v>5.5864222979028495E-2</v>
      </c>
      <c r="G311" s="7">
        <v>0.49786069404315197</v>
      </c>
      <c r="H311" s="7">
        <v>8.5826781651215586E-4</v>
      </c>
      <c r="I311" s="7">
        <v>0.63588412592096455</v>
      </c>
      <c r="J311" s="7">
        <v>3.2353364895304867E-2</v>
      </c>
      <c r="K311" s="8">
        <v>4.7400000000000005E-2</v>
      </c>
      <c r="L311" s="8">
        <v>5.91E-2</v>
      </c>
      <c r="M311" s="8">
        <v>2.3400000000000001E-2</v>
      </c>
      <c r="N311" s="7">
        <v>1.1699999999999995E-2</v>
      </c>
      <c r="O311" s="7">
        <v>8.5000000000000075E-3</v>
      </c>
      <c r="P311" s="7">
        <v>-1.3300000000000001E-2</v>
      </c>
      <c r="Q311" s="7">
        <v>4.7505938242278223E-3</v>
      </c>
      <c r="R311" s="7">
        <v>1.0878000000000001E-2</v>
      </c>
      <c r="S311" s="7">
        <v>4.0000000000000001E-3</v>
      </c>
    </row>
    <row r="312" spans="1:19" x14ac:dyDescent="0.3">
      <c r="A312" s="3">
        <v>197211</v>
      </c>
      <c r="B312" s="6">
        <f t="shared" si="8"/>
        <v>4.5379809478131965E-2</v>
      </c>
      <c r="C312" s="4">
        <f t="shared" si="9"/>
        <v>4.6597E-2</v>
      </c>
      <c r="D312" s="5">
        <v>2.6799262878203479E-2</v>
      </c>
      <c r="E312" s="5">
        <v>2.8021778096433053E-2</v>
      </c>
      <c r="F312" s="7">
        <v>5.4227050655695552E-2</v>
      </c>
      <c r="G312" s="7">
        <v>0.49420469219984603</v>
      </c>
      <c r="H312" s="7">
        <v>4.8845636202737006E-4</v>
      </c>
      <c r="I312" s="7">
        <v>0.59673348326965947</v>
      </c>
      <c r="J312" s="7">
        <v>3.0952170186162902E-2</v>
      </c>
      <c r="K312" s="8">
        <v>4.7800000000000002E-2</v>
      </c>
      <c r="L312" s="8">
        <v>5.7700000000000001E-2</v>
      </c>
      <c r="M312" s="8">
        <v>2.2599999999999999E-2</v>
      </c>
      <c r="N312" s="7">
        <v>9.8999999999999991E-3</v>
      </c>
      <c r="O312" s="7">
        <v>8.6999999999999994E-3</v>
      </c>
      <c r="P312" s="7">
        <v>2.3E-3</v>
      </c>
      <c r="Q312" s="7">
        <v>2.3640661938535423E-3</v>
      </c>
      <c r="R312" s="7">
        <v>5.0297000000000001E-2</v>
      </c>
      <c r="S312" s="7">
        <v>3.7000000000000002E-3</v>
      </c>
    </row>
    <row r="313" spans="1:19" x14ac:dyDescent="0.3">
      <c r="A313" s="3">
        <v>197212</v>
      </c>
      <c r="B313" s="6">
        <f t="shared" si="8"/>
        <v>9.8773309517841239E-3</v>
      </c>
      <c r="C313" s="4">
        <f t="shared" si="9"/>
        <v>9.9629999999999996E-3</v>
      </c>
      <c r="D313" s="5">
        <v>2.6683608640406607E-2</v>
      </c>
      <c r="E313" s="5">
        <v>2.6999228593468757E-2</v>
      </c>
      <c r="F313" s="7">
        <v>5.4383735705209657E-2</v>
      </c>
      <c r="G313" s="7">
        <v>0.49065420560747663</v>
      </c>
      <c r="H313" s="7">
        <v>5.1717096153020134E-4</v>
      </c>
      <c r="I313" s="7">
        <v>0.59567459461579186</v>
      </c>
      <c r="J313" s="7">
        <v>3.4203476892399463E-2</v>
      </c>
      <c r="K313" s="8">
        <v>5.0700000000000002E-2</v>
      </c>
      <c r="L313" s="8">
        <v>5.9900000000000002E-2</v>
      </c>
      <c r="M313" s="8">
        <v>-2.29E-2</v>
      </c>
      <c r="N313" s="7">
        <v>9.1999999999999998E-3</v>
      </c>
      <c r="O313" s="7">
        <v>8.4999999999999937E-3</v>
      </c>
      <c r="P313" s="7">
        <v>2.2499999999999999E-2</v>
      </c>
      <c r="Q313" s="7">
        <v>2.3584905660378741E-3</v>
      </c>
      <c r="R313" s="7">
        <v>1.3663E-2</v>
      </c>
      <c r="S313" s="7">
        <v>3.7000000000000002E-3</v>
      </c>
    </row>
    <row r="314" spans="1:19" x14ac:dyDescent="0.3">
      <c r="A314" s="3">
        <v>197301</v>
      </c>
      <c r="B314" s="6">
        <f t="shared" si="8"/>
        <v>-2.128425004426366E-2</v>
      </c>
      <c r="C314" s="4">
        <f t="shared" si="9"/>
        <v>-2.1152000000000001E-2</v>
      </c>
      <c r="D314" s="5">
        <v>2.7205636473325863E-2</v>
      </c>
      <c r="E314" s="5">
        <v>2.674011012282931E-2</v>
      </c>
      <c r="F314" s="7">
        <v>5.6422218391795224E-2</v>
      </c>
      <c r="G314" s="7">
        <v>0.48217948972531077</v>
      </c>
      <c r="H314" s="7">
        <v>5.1560415040076597E-4</v>
      </c>
      <c r="I314" s="7">
        <v>0.60819603211146922</v>
      </c>
      <c r="J314" s="7">
        <v>3.564730504569897E-2</v>
      </c>
      <c r="K314" s="8">
        <v>5.4100000000000002E-2</v>
      </c>
      <c r="L314" s="8">
        <v>6.8500000000000005E-2</v>
      </c>
      <c r="M314" s="8">
        <v>-3.2099999999999997E-2</v>
      </c>
      <c r="N314" s="7">
        <v>1.4400000000000003E-2</v>
      </c>
      <c r="O314" s="7">
        <v>7.4999999999999928E-3</v>
      </c>
      <c r="P314" s="7">
        <v>2.6699999999999995E-2</v>
      </c>
      <c r="Q314" s="7">
        <v>2.3529411764706687E-3</v>
      </c>
      <c r="R314" s="7">
        <v>-1.6752E-2</v>
      </c>
      <c r="S314" s="7">
        <v>4.4000000000000003E-3</v>
      </c>
    </row>
    <row r="315" spans="1:19" x14ac:dyDescent="0.3">
      <c r="A315" s="3">
        <v>197302</v>
      </c>
      <c r="B315" s="6">
        <f t="shared" si="8"/>
        <v>-3.8494674621914415E-2</v>
      </c>
      <c r="C315" s="4">
        <f t="shared" si="9"/>
        <v>-3.7918E-2</v>
      </c>
      <c r="D315" s="5">
        <v>2.8324946275071632E-2</v>
      </c>
      <c r="E315" s="5">
        <v>2.7263035421873656E-2</v>
      </c>
      <c r="F315" s="7">
        <v>5.9754029369627502E-2</v>
      </c>
      <c r="G315" s="7">
        <v>0.47402571130155413</v>
      </c>
      <c r="H315" s="7">
        <v>1.2645943509198619E-3</v>
      </c>
      <c r="I315" s="7">
        <v>0.63618373522359617</v>
      </c>
      <c r="J315" s="7">
        <v>3.6299775918947917E-2</v>
      </c>
      <c r="K315" s="8">
        <v>5.5999999999999994E-2</v>
      </c>
      <c r="L315" s="8">
        <v>6.88E-2</v>
      </c>
      <c r="M315" s="8">
        <v>1.4E-3</v>
      </c>
      <c r="N315" s="7">
        <v>1.2800000000000006E-2</v>
      </c>
      <c r="O315" s="7">
        <v>7.4999999999999928E-3</v>
      </c>
      <c r="P315" s="7">
        <v>8.9999999999999998E-4</v>
      </c>
      <c r="Q315" s="7">
        <v>7.0422535211267512E-3</v>
      </c>
      <c r="R315" s="7">
        <v>-3.3818000000000001E-2</v>
      </c>
      <c r="S315" s="7">
        <v>4.0999999999999995E-3</v>
      </c>
    </row>
    <row r="316" spans="1:19" x14ac:dyDescent="0.3">
      <c r="A316" s="3">
        <v>197303</v>
      </c>
      <c r="B316" s="6">
        <f t="shared" si="8"/>
        <v>-5.6830500939147963E-3</v>
      </c>
      <c r="C316" s="4">
        <f t="shared" si="9"/>
        <v>-5.6930000000000001E-3</v>
      </c>
      <c r="D316" s="5">
        <v>2.8425394548063129E-2</v>
      </c>
      <c r="E316" s="5">
        <v>2.8384670487106016E-2</v>
      </c>
      <c r="F316" s="7">
        <v>6.097560975609756E-2</v>
      </c>
      <c r="G316" s="7">
        <v>0.4661764705882353</v>
      </c>
      <c r="H316" s="7">
        <v>1.5575644099601977E-3</v>
      </c>
      <c r="I316" s="7">
        <v>0.6760181280953933</v>
      </c>
      <c r="J316" s="7">
        <v>3.6706060964895697E-2</v>
      </c>
      <c r="K316" s="8">
        <v>6.0899999999999996E-2</v>
      </c>
      <c r="L316" s="8">
        <v>6.8599999999999994E-2</v>
      </c>
      <c r="M316" s="8">
        <v>8.2000000000000007E-3</v>
      </c>
      <c r="N316" s="7">
        <v>7.6999999999999985E-3</v>
      </c>
      <c r="O316" s="7">
        <v>7.3999999999999899E-3</v>
      </c>
      <c r="P316" s="7">
        <v>-3.700000000000001E-3</v>
      </c>
      <c r="Q316" s="7">
        <v>9.3240093240092303E-3</v>
      </c>
      <c r="R316" s="7">
        <v>-1.093E-3</v>
      </c>
      <c r="S316" s="7">
        <v>4.5999999999999999E-3</v>
      </c>
    </row>
    <row r="317" spans="1:19" x14ac:dyDescent="0.3">
      <c r="A317" s="3">
        <v>197304</v>
      </c>
      <c r="B317" s="6">
        <f t="shared" si="8"/>
        <v>-4.6075190096542928E-2</v>
      </c>
      <c r="C317" s="4">
        <f t="shared" si="9"/>
        <v>-4.5263999999999999E-2</v>
      </c>
      <c r="D317" s="5">
        <v>2.9790315041600447E-2</v>
      </c>
      <c r="E317" s="5">
        <v>2.8574874461979913E-2</v>
      </c>
      <c r="F317" s="7">
        <v>6.4909133401888378E-2</v>
      </c>
      <c r="G317" s="7">
        <v>0.4589541329592573</v>
      </c>
      <c r="H317" s="7">
        <v>1.5175397549063974E-3</v>
      </c>
      <c r="I317" s="7">
        <v>0.69771984849635893</v>
      </c>
      <c r="J317" s="7">
        <v>3.7833147349927196E-2</v>
      </c>
      <c r="K317" s="8">
        <v>6.2600000000000003E-2</v>
      </c>
      <c r="L317" s="8">
        <v>6.8699999999999997E-2</v>
      </c>
      <c r="M317" s="8">
        <v>4.5999999999999999E-3</v>
      </c>
      <c r="N317" s="7">
        <v>6.0999999999999943E-3</v>
      </c>
      <c r="O317" s="7">
        <v>8.3000000000000018E-3</v>
      </c>
      <c r="P317" s="7">
        <v>1.5000000000000005E-3</v>
      </c>
      <c r="Q317" s="7">
        <v>6.9284064665127154E-3</v>
      </c>
      <c r="R317" s="7">
        <v>-4.0064000000000002E-2</v>
      </c>
      <c r="S317" s="7">
        <v>5.1999999999999998E-3</v>
      </c>
    </row>
    <row r="318" spans="1:19" x14ac:dyDescent="0.3">
      <c r="A318" s="3">
        <v>197305</v>
      </c>
      <c r="B318" s="6">
        <f t="shared" si="8"/>
        <v>-1.9135254774616289E-2</v>
      </c>
      <c r="C318" s="4">
        <f t="shared" si="9"/>
        <v>-1.9050000000000001E-2</v>
      </c>
      <c r="D318" s="5">
        <v>3.0522439256788943E-2</v>
      </c>
      <c r="E318" s="5">
        <v>2.994605964289053E-2</v>
      </c>
      <c r="F318" s="7">
        <v>6.7524249642686995E-2</v>
      </c>
      <c r="G318" s="7">
        <v>0.45202189462751896</v>
      </c>
      <c r="H318" s="7">
        <v>3.0775217073754717E-3</v>
      </c>
      <c r="I318" s="7">
        <v>0.71321596166006584</v>
      </c>
      <c r="J318" s="7">
        <v>3.9602112003782643E-2</v>
      </c>
      <c r="K318" s="8">
        <v>6.3600000000000004E-2</v>
      </c>
      <c r="L318" s="8">
        <v>7.0300000000000001E-2</v>
      </c>
      <c r="M318" s="8">
        <v>-1.0500000000000001E-2</v>
      </c>
      <c r="N318" s="7">
        <v>6.6999999999999976E-3</v>
      </c>
      <c r="O318" s="7">
        <v>7.6999999999999985E-3</v>
      </c>
      <c r="P318" s="7">
        <v>6.6000000000000008E-3</v>
      </c>
      <c r="Q318" s="7">
        <v>6.8807339449541427E-3</v>
      </c>
      <c r="R318" s="7">
        <v>-1.3950000000000001E-2</v>
      </c>
      <c r="S318" s="7">
        <v>5.1000000000000004E-3</v>
      </c>
    </row>
    <row r="319" spans="1:19" x14ac:dyDescent="0.3">
      <c r="A319" s="3">
        <v>197306</v>
      </c>
      <c r="B319" s="6">
        <f t="shared" si="8"/>
        <v>-1.0278491347988094E-2</v>
      </c>
      <c r="C319" s="4">
        <f t="shared" si="9"/>
        <v>-1.0278000000000001E-2</v>
      </c>
      <c r="D319" s="5">
        <v>3.0884327642432381E-2</v>
      </c>
      <c r="E319" s="5">
        <v>3.0681276798475467E-2</v>
      </c>
      <c r="F319" s="7">
        <v>6.9345866103970838E-2</v>
      </c>
      <c r="G319" s="7">
        <v>0.44536652835408025</v>
      </c>
      <c r="H319" s="7">
        <v>2.1646024811397733E-3</v>
      </c>
      <c r="I319" s="7">
        <v>0.72097430779064942</v>
      </c>
      <c r="J319" s="7">
        <v>3.9013288032156215E-2</v>
      </c>
      <c r="K319" s="8">
        <v>7.1900000000000006E-2</v>
      </c>
      <c r="L319" s="8">
        <v>7.0999999999999994E-2</v>
      </c>
      <c r="M319" s="8">
        <v>-2.0999999999999999E-3</v>
      </c>
      <c r="N319" s="7">
        <v>-9.000000000000119E-4</v>
      </c>
      <c r="O319" s="7">
        <v>7.6000000000000095E-3</v>
      </c>
      <c r="P319" s="7">
        <v>-3.5000000000000001E-3</v>
      </c>
      <c r="Q319" s="7">
        <v>6.8337129840547739E-3</v>
      </c>
      <c r="R319" s="7">
        <v>-5.1780000000000003E-3</v>
      </c>
      <c r="S319" s="7">
        <v>5.1000000000000004E-3</v>
      </c>
    </row>
    <row r="320" spans="1:19" x14ac:dyDescent="0.3">
      <c r="A320" s="3">
        <v>197307</v>
      </c>
      <c r="B320" s="6">
        <f t="shared" si="8"/>
        <v>3.2002292945296988E-2</v>
      </c>
      <c r="C320" s="4">
        <f t="shared" si="9"/>
        <v>3.2728E-2</v>
      </c>
      <c r="D320" s="5">
        <v>2.9908242469044541E-2</v>
      </c>
      <c r="E320" s="5">
        <v>3.1044216382121619E-2</v>
      </c>
      <c r="F320" s="7">
        <v>6.8225189428941041E-2</v>
      </c>
      <c r="G320" s="7">
        <v>0.43837536721235543</v>
      </c>
      <c r="H320" s="7">
        <v>1.8680136358772126E-3</v>
      </c>
      <c r="I320" s="7">
        <v>0.69397668393782386</v>
      </c>
      <c r="J320" s="7">
        <v>3.7349962714568995E-2</v>
      </c>
      <c r="K320" s="8">
        <v>8.0100000000000005E-2</v>
      </c>
      <c r="L320" s="8">
        <v>7.5999999999999998E-2</v>
      </c>
      <c r="M320" s="8">
        <v>-4.3299999999999998E-2</v>
      </c>
      <c r="N320" s="7">
        <v>-4.1000000000000064E-3</v>
      </c>
      <c r="O320" s="7">
        <v>7.9000000000000042E-3</v>
      </c>
      <c r="P320" s="7">
        <v>-4.3000000000000052E-3</v>
      </c>
      <c r="Q320" s="7">
        <v>2.2624434389137971E-3</v>
      </c>
      <c r="R320" s="7">
        <v>3.9128000000000003E-2</v>
      </c>
      <c r="S320" s="7">
        <v>6.4000000000000003E-3</v>
      </c>
    </row>
    <row r="321" spans="1:19" x14ac:dyDescent="0.3">
      <c r="A321" s="3">
        <v>197308</v>
      </c>
      <c r="B321" s="6">
        <f t="shared" si="8"/>
        <v>-3.9027841982522488E-2</v>
      </c>
      <c r="C321" s="4">
        <f t="shared" si="9"/>
        <v>-3.8544000000000002E-2</v>
      </c>
      <c r="D321" s="5">
        <v>3.1207002398081534E-2</v>
      </c>
      <c r="E321" s="5">
        <v>3.0062188135279985E-2</v>
      </c>
      <c r="F321" s="7">
        <v>7.2294196642685854E-2</v>
      </c>
      <c r="G321" s="7">
        <v>0.43166677060293207</v>
      </c>
      <c r="H321" s="7">
        <v>1.0958834359663912E-3</v>
      </c>
      <c r="I321" s="7">
        <v>0.72433723537298456</v>
      </c>
      <c r="J321" s="7">
        <v>3.7388664439733495E-2</v>
      </c>
      <c r="K321" s="8">
        <v>8.6699999999999999E-2</v>
      </c>
      <c r="L321" s="8">
        <v>7.2800000000000004E-2</v>
      </c>
      <c r="M321" s="8">
        <v>3.9100000000000003E-2</v>
      </c>
      <c r="N321" s="7">
        <v>-1.3899999999999996E-2</v>
      </c>
      <c r="O321" s="7">
        <v>8.4999999999999937E-3</v>
      </c>
      <c r="P321" s="7">
        <v>-3.5000000000000031E-3</v>
      </c>
      <c r="Q321" s="7">
        <v>1.8058690744921169E-2</v>
      </c>
      <c r="R321" s="7">
        <v>-3.1544000000000003E-2</v>
      </c>
      <c r="S321" s="7">
        <v>6.9999999999999993E-3</v>
      </c>
    </row>
    <row r="322" spans="1:19" x14ac:dyDescent="0.3">
      <c r="A322" s="3">
        <v>197309</v>
      </c>
      <c r="B322" s="6">
        <f t="shared" si="8"/>
        <v>3.4575109713676021E-2</v>
      </c>
      <c r="C322" s="4">
        <f t="shared" si="9"/>
        <v>3.5418999999999999E-2</v>
      </c>
      <c r="D322" s="5">
        <v>3.0157705432075993E-2</v>
      </c>
      <c r="E322" s="5">
        <v>3.1366906474820141E-2</v>
      </c>
      <c r="F322" s="7">
        <v>7.0921331734759757E-2</v>
      </c>
      <c r="G322" s="7">
        <v>0.42522756827048114</v>
      </c>
      <c r="H322" s="7">
        <v>9.3455784522805609E-4</v>
      </c>
      <c r="I322" s="7">
        <v>0.67880899588216659</v>
      </c>
      <c r="J322" s="7">
        <v>3.4361129679983553E-2</v>
      </c>
      <c r="K322" s="8">
        <v>8.2899999999999988E-2</v>
      </c>
      <c r="L322" s="8">
        <v>7.0300000000000001E-2</v>
      </c>
      <c r="M322" s="8">
        <v>3.1800000000000002E-2</v>
      </c>
      <c r="N322" s="7">
        <v>-1.2599999999999986E-2</v>
      </c>
      <c r="O322" s="7">
        <v>1.0000000000000009E-2</v>
      </c>
      <c r="P322" s="7">
        <v>3.7999999999999978E-3</v>
      </c>
      <c r="Q322" s="7">
        <v>2.2172949002217113E-3</v>
      </c>
      <c r="R322" s="7">
        <v>4.2219E-2</v>
      </c>
      <c r="S322" s="7">
        <v>6.8000000000000005E-3</v>
      </c>
    </row>
    <row r="323" spans="1:19" x14ac:dyDescent="0.3">
      <c r="A323" s="3">
        <v>197310</v>
      </c>
      <c r="B323" s="6">
        <f t="shared" ref="B323:B386" si="10">LN(R323+1) - LN(S323+1)</f>
        <v>-6.1670147595875762E-3</v>
      </c>
      <c r="C323" s="4">
        <f t="shared" ref="C323:C386" si="11">R323 - S323</f>
        <v>-6.1880000000000008E-3</v>
      </c>
      <c r="D323" s="5">
        <v>3.0535321821036104E-2</v>
      </c>
      <c r="E323" s="5">
        <v>3.0495895969750067E-2</v>
      </c>
      <c r="F323" s="7">
        <v>7.2459783913565418E-2</v>
      </c>
      <c r="G323" s="7">
        <v>0.42141061112548384</v>
      </c>
      <c r="H323" s="7">
        <v>1.3447449059527179E-3</v>
      </c>
      <c r="I323" s="7">
        <v>0.67208179138179758</v>
      </c>
      <c r="J323" s="7">
        <v>3.4660239966341246E-2</v>
      </c>
      <c r="K323" s="8">
        <v>7.22E-2</v>
      </c>
      <c r="L323" s="8">
        <v>6.8900000000000003E-2</v>
      </c>
      <c r="M323" s="8">
        <v>2.1499999999999998E-2</v>
      </c>
      <c r="N323" s="7">
        <v>-3.2999999999999974E-3</v>
      </c>
      <c r="O323" s="7">
        <v>8.10000000000001E-3</v>
      </c>
      <c r="P323" s="7">
        <v>-2.81E-2</v>
      </c>
      <c r="Q323" s="7">
        <v>8.8495575221239076E-3</v>
      </c>
      <c r="R323" s="7">
        <v>3.1199999999999999E-4</v>
      </c>
      <c r="S323" s="7">
        <v>6.5000000000000006E-3</v>
      </c>
    </row>
    <row r="324" spans="1:19" x14ac:dyDescent="0.3">
      <c r="A324" s="3">
        <v>197311</v>
      </c>
      <c r="B324" s="6">
        <f t="shared" si="10"/>
        <v>-0.11899946733359883</v>
      </c>
      <c r="C324" s="4">
        <f t="shared" si="11"/>
        <v>-0.11282</v>
      </c>
      <c r="D324" s="5">
        <v>3.4840871196331807E-2</v>
      </c>
      <c r="E324" s="5">
        <v>3.0873857235201769E-2</v>
      </c>
      <c r="F324" s="7">
        <v>8.3402771988328475E-2</v>
      </c>
      <c r="G324" s="7">
        <v>0.41774236474067666</v>
      </c>
      <c r="H324" s="7">
        <v>4.3697483328279533E-3</v>
      </c>
      <c r="I324" s="7">
        <v>0.78187899057464272</v>
      </c>
      <c r="J324" s="7">
        <v>3.8736238012725521E-2</v>
      </c>
      <c r="K324" s="8">
        <v>7.8299999999999995E-2</v>
      </c>
      <c r="L324" s="8">
        <v>7.1199999999999999E-2</v>
      </c>
      <c r="M324" s="8">
        <v>-1.83E-2</v>
      </c>
      <c r="N324" s="7">
        <v>-7.0999999999999952E-3</v>
      </c>
      <c r="O324" s="7">
        <v>7.4999999999999928E-3</v>
      </c>
      <c r="P324" s="7">
        <v>2.6099999999999998E-2</v>
      </c>
      <c r="Q324" s="7">
        <v>6.5789473684210176E-3</v>
      </c>
      <c r="R324" s="7">
        <v>-0.10722</v>
      </c>
      <c r="S324" s="7">
        <v>5.6000000000000008E-3</v>
      </c>
    </row>
    <row r="325" spans="1:19" x14ac:dyDescent="0.3">
      <c r="A325" s="3">
        <v>197312</v>
      </c>
      <c r="B325" s="6">
        <f t="shared" si="10"/>
        <v>1.1431823528660658E-2</v>
      </c>
      <c r="C325" s="4">
        <f t="shared" si="11"/>
        <v>1.1571000000000001E-2</v>
      </c>
      <c r="D325" s="5">
        <v>3.4648898001025115E-2</v>
      </c>
      <c r="E325" s="5">
        <v>3.5223009587328054E-2</v>
      </c>
      <c r="F325" s="7">
        <v>8.3649410558687853E-2</v>
      </c>
      <c r="G325" s="7">
        <v>0.41421568627450978</v>
      </c>
      <c r="H325" s="7">
        <v>5.3583379583479144E-3</v>
      </c>
      <c r="I325" s="7">
        <v>0.75558846343699315</v>
      </c>
      <c r="J325" s="7">
        <v>1.3007395124224599E-2</v>
      </c>
      <c r="K325" s="8">
        <v>7.4499999999999997E-2</v>
      </c>
      <c r="L325" s="8">
        <v>7.2599999999999998E-2</v>
      </c>
      <c r="M325" s="8">
        <v>-8.2000000000000007E-3</v>
      </c>
      <c r="N325" s="7">
        <v>-1.8999999999999989E-3</v>
      </c>
      <c r="O325" s="7">
        <v>8.0000000000000071E-3</v>
      </c>
      <c r="P325" s="7">
        <v>-6.9999999999999923E-4</v>
      </c>
      <c r="Q325" s="7">
        <v>6.5359477124184995E-3</v>
      </c>
      <c r="R325" s="7">
        <v>1.7971000000000001E-2</v>
      </c>
      <c r="S325" s="7">
        <v>6.4000000000000003E-3</v>
      </c>
    </row>
    <row r="326" spans="1:19" x14ac:dyDescent="0.3">
      <c r="A326" s="3">
        <v>197401</v>
      </c>
      <c r="B326" s="6">
        <f t="shared" si="10"/>
        <v>-1.4433384713537611E-2</v>
      </c>
      <c r="C326" s="4">
        <f t="shared" si="11"/>
        <v>-1.4420000000000001E-2</v>
      </c>
      <c r="D326" s="5">
        <v>3.520762141451797E-2</v>
      </c>
      <c r="E326" s="5">
        <v>3.4853921066119939E-2</v>
      </c>
      <c r="F326" s="7">
        <v>8.5188671430050752E-2</v>
      </c>
      <c r="G326" s="7">
        <v>0.4132899459927285</v>
      </c>
      <c r="H326" s="7">
        <v>3.4094716682210257E-3</v>
      </c>
      <c r="I326" s="7">
        <v>0.75144643796388289</v>
      </c>
      <c r="J326" s="7">
        <v>1.162674909434991E-2</v>
      </c>
      <c r="K326" s="8">
        <v>7.7699999999999991E-2</v>
      </c>
      <c r="L326" s="8">
        <v>7.3999999999999996E-2</v>
      </c>
      <c r="M326" s="8">
        <v>-8.3000000000000001E-3</v>
      </c>
      <c r="N326" s="7">
        <v>-3.699999999999995E-3</v>
      </c>
      <c r="O326" s="7">
        <v>6.5000000000000058E-3</v>
      </c>
      <c r="P326" s="7">
        <v>3.0000000000000001E-3</v>
      </c>
      <c r="Q326" s="7">
        <v>8.6580086580085869E-3</v>
      </c>
      <c r="R326" s="7">
        <v>-8.1200000000000005E-3</v>
      </c>
      <c r="S326" s="7">
        <v>6.3E-3</v>
      </c>
    </row>
    <row r="327" spans="1:19" x14ac:dyDescent="0.3">
      <c r="A327" s="3">
        <v>197402</v>
      </c>
      <c r="B327" s="6">
        <f t="shared" si="10"/>
        <v>-3.7932261568629911E-3</v>
      </c>
      <c r="C327" s="4">
        <f t="shared" si="11"/>
        <v>-3.8079999999999998E-3</v>
      </c>
      <c r="D327" s="5">
        <v>3.5543546040324253E-2</v>
      </c>
      <c r="E327" s="5">
        <v>3.5414725069897485E-2</v>
      </c>
      <c r="F327" s="7">
        <v>8.6191332363334025E-2</v>
      </c>
      <c r="G327" s="7">
        <v>0.41237958696928739</v>
      </c>
      <c r="H327" s="7">
        <v>1.8780076517634537E-3</v>
      </c>
      <c r="I327" s="7">
        <v>0.74709771884768694</v>
      </c>
      <c r="J327" s="7">
        <v>1.0918647698395442E-2</v>
      </c>
      <c r="K327" s="8">
        <v>7.1199999999999999E-2</v>
      </c>
      <c r="L327" s="8">
        <v>7.4800000000000005E-2</v>
      </c>
      <c r="M327" s="8">
        <v>-2.3999999999999998E-3</v>
      </c>
      <c r="N327" s="7">
        <v>3.600000000000006E-3</v>
      </c>
      <c r="O327" s="7">
        <v>6.7999999999999866E-3</v>
      </c>
      <c r="P327" s="7">
        <v>3.3E-3</v>
      </c>
      <c r="Q327" s="7">
        <v>1.2875536480686733E-2</v>
      </c>
      <c r="R327" s="7">
        <v>1.9919999999999998E-3</v>
      </c>
      <c r="S327" s="7">
        <v>5.7999999999999996E-3</v>
      </c>
    </row>
    <row r="328" spans="1:19" x14ac:dyDescent="0.3">
      <c r="A328" s="3">
        <v>197403</v>
      </c>
      <c r="B328" s="6">
        <f t="shared" si="10"/>
        <v>-2.7643910485044179E-2</v>
      </c>
      <c r="C328" s="4">
        <f t="shared" si="11"/>
        <v>-2.7418000000000001E-2</v>
      </c>
      <c r="D328" s="5">
        <v>3.6603532666524788E-2</v>
      </c>
      <c r="E328" s="5">
        <v>3.5751403034712116E-2</v>
      </c>
      <c r="F328" s="7">
        <v>8.8955096829112568E-2</v>
      </c>
      <c r="G328" s="7">
        <v>0.41148325358851678</v>
      </c>
      <c r="H328" s="7">
        <v>1.6936350265754638E-3</v>
      </c>
      <c r="I328" s="7">
        <v>0.81518401285019149</v>
      </c>
      <c r="J328" s="7">
        <v>1.0399936064688012E-2</v>
      </c>
      <c r="K328" s="8">
        <v>7.9600000000000004E-2</v>
      </c>
      <c r="L328" s="8">
        <v>7.8299999999999995E-2</v>
      </c>
      <c r="M328" s="8">
        <v>-2.92E-2</v>
      </c>
      <c r="N328" s="7">
        <v>-1.3000000000000095E-3</v>
      </c>
      <c r="O328" s="7">
        <v>6.0999999999999943E-3</v>
      </c>
      <c r="P328" s="7">
        <v>-1.5000000000000013E-3</v>
      </c>
      <c r="Q328" s="7">
        <v>1.2711864406779627E-2</v>
      </c>
      <c r="R328" s="7">
        <v>-2.1818000000000001E-2</v>
      </c>
      <c r="S328" s="7">
        <v>5.6000000000000008E-3</v>
      </c>
    </row>
    <row r="329" spans="1:19" x14ac:dyDescent="0.3">
      <c r="A329" s="3">
        <v>197404</v>
      </c>
      <c r="B329" s="6">
        <f t="shared" si="10"/>
        <v>-4.5848044837264991E-2</v>
      </c>
      <c r="C329" s="4">
        <f t="shared" si="11"/>
        <v>-4.5149000000000002E-2</v>
      </c>
      <c r="D329" s="5">
        <v>3.8312479238179604E-2</v>
      </c>
      <c r="E329" s="5">
        <v>3.6816343902958071E-2</v>
      </c>
      <c r="F329" s="7">
        <v>9.3972649761931121E-2</v>
      </c>
      <c r="G329" s="7">
        <v>0.40769819022066367</v>
      </c>
      <c r="H329" s="7">
        <v>1.7291765401016427E-3</v>
      </c>
      <c r="I329" s="7">
        <v>0.82485808186435616</v>
      </c>
      <c r="J329" s="7">
        <v>9.6574912861545643E-3</v>
      </c>
      <c r="K329" s="8">
        <v>8.3299999999999999E-2</v>
      </c>
      <c r="L329" s="8">
        <v>8.1600000000000006E-2</v>
      </c>
      <c r="M329" s="8">
        <v>-2.53E-2</v>
      </c>
      <c r="N329" s="7">
        <v>-1.6999999999999932E-3</v>
      </c>
      <c r="O329" s="7">
        <v>6.1999999999999833E-3</v>
      </c>
      <c r="P329" s="7">
        <v>-8.7999999999999988E-3</v>
      </c>
      <c r="Q329" s="7">
        <v>4.1841004184099972E-3</v>
      </c>
      <c r="R329" s="7">
        <v>-3.7649000000000002E-2</v>
      </c>
      <c r="S329" s="7">
        <v>7.4999999999999997E-3</v>
      </c>
    </row>
    <row r="330" spans="1:19" x14ac:dyDescent="0.3">
      <c r="A330" s="3">
        <v>197405</v>
      </c>
      <c r="B330" s="6">
        <f t="shared" si="10"/>
        <v>-3.4736331426890435E-2</v>
      </c>
      <c r="C330" s="4">
        <f t="shared" si="11"/>
        <v>-3.4395999999999996E-2</v>
      </c>
      <c r="D330" s="5">
        <v>3.987167736021998E-2</v>
      </c>
      <c r="E330" s="5">
        <v>3.8533938655741333E-2</v>
      </c>
      <c r="F330" s="7">
        <v>9.8686182401466538E-2</v>
      </c>
      <c r="G330" s="7">
        <v>0.40402492415825242</v>
      </c>
      <c r="H330" s="7">
        <v>2.0987463711757753E-3</v>
      </c>
      <c r="I330" s="7">
        <v>0.86041612127105238</v>
      </c>
      <c r="J330" s="7">
        <v>9.246923420192104E-3</v>
      </c>
      <c r="K330" s="8">
        <v>8.2299999999999998E-2</v>
      </c>
      <c r="L330" s="8">
        <v>8.1000000000000003E-2</v>
      </c>
      <c r="M330" s="8">
        <v>1.23E-2</v>
      </c>
      <c r="N330" s="7">
        <v>-1.2999999999999956E-3</v>
      </c>
      <c r="O330" s="7">
        <v>6.8000000000000144E-3</v>
      </c>
      <c r="P330" s="7">
        <v>-1.7999999999999995E-3</v>
      </c>
      <c r="Q330" s="7">
        <v>1.2499999999999956E-2</v>
      </c>
      <c r="R330" s="7">
        <v>-2.6896E-2</v>
      </c>
      <c r="S330" s="7">
        <v>7.4999999999999997E-3</v>
      </c>
    </row>
    <row r="331" spans="1:19" x14ac:dyDescent="0.3">
      <c r="A331" s="3">
        <v>197406</v>
      </c>
      <c r="B331" s="6">
        <f t="shared" si="10"/>
        <v>-1.8880905095332925E-2</v>
      </c>
      <c r="C331" s="4">
        <f t="shared" si="11"/>
        <v>-1.8815999999999999E-2</v>
      </c>
      <c r="D331" s="5">
        <v>4.0697674418604654E-2</v>
      </c>
      <c r="E331" s="5">
        <v>4.0100824931255726E-2</v>
      </c>
      <c r="F331" s="7">
        <v>0.10162790697674419</v>
      </c>
      <c r="G331" s="7">
        <v>0.40045766590389015</v>
      </c>
      <c r="H331" s="7">
        <v>2.3003693732100744E-3</v>
      </c>
      <c r="I331" s="7">
        <v>0.86015877170025312</v>
      </c>
      <c r="J331" s="7">
        <v>8.028169497584144E-3</v>
      </c>
      <c r="K331" s="8">
        <v>7.9000000000000001E-2</v>
      </c>
      <c r="L331" s="8">
        <v>8.1199999999999994E-2</v>
      </c>
      <c r="M331" s="8">
        <v>4.4999999999999997E-3</v>
      </c>
      <c r="N331" s="7">
        <v>2.1999999999999936E-3</v>
      </c>
      <c r="O331" s="7">
        <v>7.9999999999999793E-3</v>
      </c>
      <c r="P331" s="7">
        <v>-3.3000000000000002E-2</v>
      </c>
      <c r="Q331" s="7">
        <v>8.2304526748970819E-3</v>
      </c>
      <c r="R331" s="7">
        <v>-1.2815999999999999E-2</v>
      </c>
      <c r="S331" s="7">
        <v>6.0000000000000001E-3</v>
      </c>
    </row>
    <row r="332" spans="1:19" x14ac:dyDescent="0.3">
      <c r="A332" s="3">
        <v>197407</v>
      </c>
      <c r="B332" s="6">
        <f t="shared" si="10"/>
        <v>-8.6774517799144038E-2</v>
      </c>
      <c r="C332" s="4">
        <f t="shared" si="11"/>
        <v>-8.3697999999999995E-2</v>
      </c>
      <c r="D332" s="5">
        <v>4.450888916908334E-2</v>
      </c>
      <c r="E332" s="5">
        <v>4.1046511627906977E-2</v>
      </c>
      <c r="F332" s="7">
        <v>0.11175551632833185</v>
      </c>
      <c r="G332" s="7">
        <v>0.39827017610762544</v>
      </c>
      <c r="H332" s="7">
        <v>4.9175156698987223E-3</v>
      </c>
      <c r="I332" s="7">
        <v>0.91123932244563866</v>
      </c>
      <c r="J332" s="7">
        <v>6.8388851786678317E-3</v>
      </c>
      <c r="K332" s="8">
        <v>7.5499999999999998E-2</v>
      </c>
      <c r="L332" s="8">
        <v>8.2299999999999998E-2</v>
      </c>
      <c r="M332" s="8">
        <v>-2.8999999999999998E-3</v>
      </c>
      <c r="N332" s="7">
        <v>6.8000000000000005E-3</v>
      </c>
      <c r="O332" s="7">
        <v>7.6000000000000095E-3</v>
      </c>
      <c r="P332" s="7">
        <v>-1.8200000000000001E-2</v>
      </c>
      <c r="Q332" s="7">
        <v>8.1632653061223248E-3</v>
      </c>
      <c r="R332" s="7">
        <v>-7.6698000000000002E-2</v>
      </c>
      <c r="S332" s="7">
        <v>6.9999999999999993E-3</v>
      </c>
    </row>
    <row r="333" spans="1:19" x14ac:dyDescent="0.3">
      <c r="A333" s="3">
        <v>197408</v>
      </c>
      <c r="B333" s="6">
        <f t="shared" si="10"/>
        <v>-9.1732789087036248E-2</v>
      </c>
      <c r="C333" s="4">
        <f t="shared" si="11"/>
        <v>-8.8177000000000005E-2</v>
      </c>
      <c r="D333" s="5">
        <v>4.9341649341649335E-2</v>
      </c>
      <c r="E333" s="5">
        <v>4.4887151683268185E-2</v>
      </c>
      <c r="F333" s="7">
        <v>0.12455537075537075</v>
      </c>
      <c r="G333" s="7">
        <v>0.39614228629737153</v>
      </c>
      <c r="H333" s="7">
        <v>4.7910263512487648E-3</v>
      </c>
      <c r="I333" s="7">
        <v>1.0171239942232309</v>
      </c>
      <c r="J333" s="7">
        <v>6.5552243524529515E-3</v>
      </c>
      <c r="K333" s="8">
        <v>8.9600000000000013E-2</v>
      </c>
      <c r="L333" s="8">
        <v>8.5500000000000007E-2</v>
      </c>
      <c r="M333" s="8">
        <v>-2.3199999999999998E-2</v>
      </c>
      <c r="N333" s="7">
        <v>-4.1000000000000064E-3</v>
      </c>
      <c r="O333" s="7">
        <v>7.6999999999999985E-3</v>
      </c>
      <c r="P333" s="7">
        <v>-3.6000000000000025E-3</v>
      </c>
      <c r="Q333" s="7">
        <v>1.2145748987854255E-2</v>
      </c>
      <c r="R333" s="7">
        <v>-8.2177E-2</v>
      </c>
      <c r="S333" s="7">
        <v>6.0000000000000001E-3</v>
      </c>
    </row>
    <row r="334" spans="1:19" x14ac:dyDescent="0.3">
      <c r="A334" s="3">
        <v>197409</v>
      </c>
      <c r="B334" s="6">
        <f t="shared" si="10"/>
        <v>-0.1330763259193628</v>
      </c>
      <c r="C334" s="4">
        <f t="shared" si="11"/>
        <v>-0.125611</v>
      </c>
      <c r="D334" s="5">
        <v>5.6499842618822786E-2</v>
      </c>
      <c r="E334" s="5">
        <v>4.9757449757449751E-2</v>
      </c>
      <c r="F334" s="7">
        <v>0.14337425243940824</v>
      </c>
      <c r="G334" s="7">
        <v>0.39407244785949508</v>
      </c>
      <c r="H334" s="7">
        <v>7.8117125291246453E-3</v>
      </c>
      <c r="I334" s="7">
        <v>1.1354401434517249</v>
      </c>
      <c r="J334" s="7">
        <v>5.1374791899353057E-3</v>
      </c>
      <c r="K334" s="8">
        <v>8.0600000000000005E-2</v>
      </c>
      <c r="L334" s="8">
        <v>8.3699999999999997E-2</v>
      </c>
      <c r="M334" s="8">
        <v>2.47E-2</v>
      </c>
      <c r="N334" s="7">
        <v>3.0999999999999917E-3</v>
      </c>
      <c r="O334" s="7">
        <v>9.4000000000000056E-3</v>
      </c>
      <c r="P334" s="7">
        <v>-7.3000000000000009E-3</v>
      </c>
      <c r="Q334" s="7">
        <v>1.2000000000000011E-2</v>
      </c>
      <c r="R334" s="7">
        <v>-0.117511</v>
      </c>
      <c r="S334" s="7">
        <v>8.1000000000000013E-3</v>
      </c>
    </row>
    <row r="335" spans="1:19" x14ac:dyDescent="0.3">
      <c r="A335" s="3">
        <v>197410</v>
      </c>
      <c r="B335" s="6">
        <f t="shared" si="10"/>
        <v>0.15030258725317244</v>
      </c>
      <c r="C335" s="4">
        <f t="shared" si="11"/>
        <v>0.16301300000000002</v>
      </c>
      <c r="D335" s="5">
        <v>4.8624221921515554E-2</v>
      </c>
      <c r="E335" s="5">
        <v>5.655225055083412E-2</v>
      </c>
      <c r="F335" s="7">
        <v>0.12228240866035182</v>
      </c>
      <c r="G335" s="7">
        <v>0.39763873196653188</v>
      </c>
      <c r="H335" s="7">
        <v>1.008494796465146E-2</v>
      </c>
      <c r="I335" s="7">
        <v>1.0370837841086671</v>
      </c>
      <c r="J335" s="7">
        <v>3.6384074517773713E-3</v>
      </c>
      <c r="K335" s="8">
        <v>7.46E-2</v>
      </c>
      <c r="L335" s="8">
        <v>7.9500000000000001E-2</v>
      </c>
      <c r="M335" s="8">
        <v>4.8899999999999999E-2</v>
      </c>
      <c r="N335" s="7">
        <v>4.9000000000000016E-3</v>
      </c>
      <c r="O335" s="7">
        <v>1.2100000000000014E-2</v>
      </c>
      <c r="P335" s="7">
        <v>3.9599999999999996E-2</v>
      </c>
      <c r="Q335" s="7">
        <v>9.8814229249011287E-3</v>
      </c>
      <c r="R335" s="7">
        <v>0.16811300000000001</v>
      </c>
      <c r="S335" s="7">
        <v>5.1000000000000004E-3</v>
      </c>
    </row>
    <row r="336" spans="1:19" x14ac:dyDescent="0.3">
      <c r="A336" s="3">
        <v>197411</v>
      </c>
      <c r="B336" s="6">
        <f t="shared" si="10"/>
        <v>-5.2150089252271215E-2</v>
      </c>
      <c r="C336" s="4">
        <f t="shared" si="11"/>
        <v>-5.1088000000000001E-2</v>
      </c>
      <c r="D336" s="5">
        <v>5.1403029869944265E-2</v>
      </c>
      <c r="E336" s="5">
        <v>4.8669418132611636E-2</v>
      </c>
      <c r="F336" s="7">
        <v>0.12810247248820922</v>
      </c>
      <c r="G336" s="7">
        <v>0.40126493167159977</v>
      </c>
      <c r="H336" s="7">
        <v>3.5137990088320581E-3</v>
      </c>
      <c r="I336" s="7">
        <v>1.1156370219506677</v>
      </c>
      <c r="J336" s="7">
        <v>7.8146012277738666E-3</v>
      </c>
      <c r="K336" s="8">
        <v>7.4700000000000003E-2</v>
      </c>
      <c r="L336" s="8">
        <v>7.7100000000000002E-2</v>
      </c>
      <c r="M336" s="8">
        <v>2.9499999999999998E-2</v>
      </c>
      <c r="N336" s="7">
        <v>2.3999999999999994E-3</v>
      </c>
      <c r="O336" s="7">
        <v>1.709999999999999E-2</v>
      </c>
      <c r="P336" s="7">
        <v>-1.7799999999999996E-2</v>
      </c>
      <c r="Q336" s="7">
        <v>7.8277886497064575E-3</v>
      </c>
      <c r="R336" s="7">
        <v>-4.5687999999999999E-2</v>
      </c>
      <c r="S336" s="7">
        <v>5.4000000000000003E-3</v>
      </c>
    </row>
    <row r="337" spans="1:19" x14ac:dyDescent="0.3">
      <c r="A337" s="3">
        <v>197412</v>
      </c>
      <c r="B337" s="6">
        <f t="shared" si="10"/>
        <v>-2.5160969521474008E-2</v>
      </c>
      <c r="C337" s="4">
        <f t="shared" si="11"/>
        <v>-2.5020999999999998E-2</v>
      </c>
      <c r="D337" s="5">
        <v>5.2508751458576426E-2</v>
      </c>
      <c r="E337" s="5">
        <v>5.1450621695012147E-2</v>
      </c>
      <c r="F337" s="7">
        <v>0.12966744457409568</v>
      </c>
      <c r="G337" s="7">
        <v>0.40494938132733405</v>
      </c>
      <c r="H337" s="7">
        <v>3.8144275315462116E-3</v>
      </c>
      <c r="I337" s="7">
        <v>1.1200181747371154</v>
      </c>
      <c r="J337" s="7">
        <v>8.7715739579457622E-3</v>
      </c>
      <c r="K337" s="8">
        <v>7.1500000000000008E-2</v>
      </c>
      <c r="L337" s="8">
        <v>7.5999999999999998E-2</v>
      </c>
      <c r="M337" s="8">
        <v>1.7100000000000001E-2</v>
      </c>
      <c r="N337" s="7">
        <v>4.4999999999999901E-3</v>
      </c>
      <c r="O337" s="7">
        <v>1.7399999999999999E-2</v>
      </c>
      <c r="P337" s="7">
        <v>-2.46E-2</v>
      </c>
      <c r="Q337" s="7">
        <v>7.7669902912620437E-3</v>
      </c>
      <c r="R337" s="7">
        <v>-1.8020999999999999E-2</v>
      </c>
      <c r="S337" s="7">
        <v>6.9999999999999993E-3</v>
      </c>
    </row>
    <row r="338" spans="1:19" x14ac:dyDescent="0.3">
      <c r="A338" s="3">
        <v>197501</v>
      </c>
      <c r="B338" s="6">
        <f t="shared" si="10"/>
        <v>0.11076347141701988</v>
      </c>
      <c r="C338" s="4">
        <f t="shared" si="11"/>
        <v>0.11781</v>
      </c>
      <c r="D338" s="5">
        <v>4.7068459340088332E-2</v>
      </c>
      <c r="E338" s="5">
        <v>5.2849037339556593E-2</v>
      </c>
      <c r="F338" s="7">
        <v>0.11357924136139257</v>
      </c>
      <c r="G338" s="7">
        <v>0.41441075654241577</v>
      </c>
      <c r="H338" s="7">
        <v>4.017208219313703E-3</v>
      </c>
      <c r="I338" s="7">
        <v>0.98082962668220375</v>
      </c>
      <c r="J338" s="7">
        <v>8.5104485752217664E-3</v>
      </c>
      <c r="K338" s="8">
        <v>6.2600000000000003E-2</v>
      </c>
      <c r="L338" s="8">
        <v>7.9600000000000004E-2</v>
      </c>
      <c r="M338" s="8">
        <v>2.2499999999999999E-2</v>
      </c>
      <c r="N338" s="7">
        <v>1.7000000000000001E-2</v>
      </c>
      <c r="O338" s="7">
        <v>1.9799999999999998E-2</v>
      </c>
      <c r="P338" s="7">
        <v>3.7100000000000001E-2</v>
      </c>
      <c r="Q338" s="7">
        <v>3.8535645472062008E-3</v>
      </c>
      <c r="R338" s="7">
        <v>0.12361</v>
      </c>
      <c r="S338" s="7">
        <v>5.7999999999999996E-3</v>
      </c>
    </row>
    <row r="339" spans="1:19" x14ac:dyDescent="0.3">
      <c r="A339" s="3">
        <v>197502</v>
      </c>
      <c r="B339" s="6">
        <f t="shared" si="10"/>
        <v>6.0991213275445877E-2</v>
      </c>
      <c r="C339" s="4">
        <f t="shared" si="11"/>
        <v>6.3160000000000008E-2</v>
      </c>
      <c r="D339" s="5">
        <v>4.4695060669199656E-2</v>
      </c>
      <c r="E339" s="5">
        <v>4.7371654975318263E-2</v>
      </c>
      <c r="F339" s="7">
        <v>0.10536426032602034</v>
      </c>
      <c r="G339" s="7">
        <v>0.42419564784969066</v>
      </c>
      <c r="H339" s="7">
        <v>2.1790298727881853E-3</v>
      </c>
      <c r="I339" s="7">
        <v>0.93390163047155139</v>
      </c>
      <c r="J339" s="7">
        <v>1.1652331822258308E-2</v>
      </c>
      <c r="K339" s="8">
        <v>5.5E-2</v>
      </c>
      <c r="L339" s="8">
        <v>7.8799999999999995E-2</v>
      </c>
      <c r="M339" s="8">
        <v>1.3100000000000001E-2</v>
      </c>
      <c r="N339" s="7">
        <v>2.3799999999999995E-2</v>
      </c>
      <c r="O339" s="7">
        <v>2.0299999999999999E-2</v>
      </c>
      <c r="P339" s="7">
        <v>5.9999999999999984E-4</v>
      </c>
      <c r="Q339" s="7">
        <v>7.6775431861804133E-3</v>
      </c>
      <c r="R339" s="7">
        <v>6.7460000000000006E-2</v>
      </c>
      <c r="S339" s="7">
        <v>4.3E-3</v>
      </c>
    </row>
    <row r="340" spans="1:19" x14ac:dyDescent="0.3">
      <c r="A340" s="3">
        <v>197503</v>
      </c>
      <c r="B340" s="6">
        <f t="shared" si="10"/>
        <v>1.9638580495603235E-2</v>
      </c>
      <c r="C340" s="4">
        <f t="shared" si="11"/>
        <v>1.9914000000000001E-2</v>
      </c>
      <c r="D340" s="5">
        <v>4.402591170825336E-2</v>
      </c>
      <c r="E340" s="5">
        <v>4.4981002573844832E-2</v>
      </c>
      <c r="F340" s="7">
        <v>0.10136756238003838</v>
      </c>
      <c r="G340" s="7">
        <v>0.43431952662721895</v>
      </c>
      <c r="H340" s="7">
        <v>2.4026153243239018E-3</v>
      </c>
      <c r="I340" s="7">
        <v>0.97246631517281779</v>
      </c>
      <c r="J340" s="7">
        <v>2.0466950176391628E-2</v>
      </c>
      <c r="K340" s="8">
        <v>5.4900000000000004E-2</v>
      </c>
      <c r="L340" s="8">
        <v>8.2400000000000001E-2</v>
      </c>
      <c r="M340" s="8">
        <v>-2.6700000000000002E-2</v>
      </c>
      <c r="N340" s="7">
        <v>2.7499999999999997E-2</v>
      </c>
      <c r="O340" s="7">
        <v>1.8100000000000005E-2</v>
      </c>
      <c r="P340" s="7">
        <v>2.0000000000000018E-3</v>
      </c>
      <c r="Q340" s="7">
        <v>3.8095238095239292E-3</v>
      </c>
      <c r="R340" s="7">
        <v>2.4014000000000001E-2</v>
      </c>
      <c r="S340" s="7">
        <v>4.0999999999999995E-3</v>
      </c>
    </row>
    <row r="341" spans="1:19" x14ac:dyDescent="0.3">
      <c r="A341" s="3">
        <v>197504</v>
      </c>
      <c r="B341" s="6">
        <f t="shared" si="10"/>
        <v>4.3851093919211555E-2</v>
      </c>
      <c r="C341" s="4">
        <f t="shared" si="11"/>
        <v>4.5024000000000002E-2</v>
      </c>
      <c r="D341" s="5">
        <v>4.2191638029782361E-2</v>
      </c>
      <c r="E341" s="5">
        <v>4.4185820537428026E-2</v>
      </c>
      <c r="F341" s="7">
        <v>9.4921764032073322E-2</v>
      </c>
      <c r="G341" s="7">
        <v>0.44448855813010529</v>
      </c>
      <c r="H341" s="7">
        <v>2.3137776254161888E-3</v>
      </c>
      <c r="I341" s="7">
        <v>0.90948937102783256</v>
      </c>
      <c r="J341" s="7">
        <v>2.2496224456674763E-2</v>
      </c>
      <c r="K341" s="8">
        <v>5.6100000000000004E-2</v>
      </c>
      <c r="L341" s="8">
        <v>8.5199999999999998E-2</v>
      </c>
      <c r="M341" s="8">
        <v>-1.8200000000000001E-2</v>
      </c>
      <c r="N341" s="7">
        <v>2.9099999999999994E-2</v>
      </c>
      <c r="O341" s="7">
        <v>1.6300000000000009E-2</v>
      </c>
      <c r="P341" s="7">
        <v>1.3000000000000001E-2</v>
      </c>
      <c r="Q341" s="7">
        <v>3.7950664136621182E-3</v>
      </c>
      <c r="R341" s="7">
        <v>4.9424000000000003E-2</v>
      </c>
      <c r="S341" s="7">
        <v>4.4000000000000003E-3</v>
      </c>
    </row>
    <row r="342" spans="1:19" x14ac:dyDescent="0.3">
      <c r="A342" s="3">
        <v>197505</v>
      </c>
      <c r="B342" s="6">
        <f t="shared" si="10"/>
        <v>4.5535361368428E-2</v>
      </c>
      <c r="C342" s="4">
        <f t="shared" si="11"/>
        <v>4.6793000000000001E-2</v>
      </c>
      <c r="D342" s="5">
        <v>4.0555896873285792E-2</v>
      </c>
      <c r="E342" s="5">
        <v>4.2344444444444448E-2</v>
      </c>
      <c r="F342" s="7">
        <v>8.9120460778935803E-2</v>
      </c>
      <c r="G342" s="7">
        <v>0.45506830326971826</v>
      </c>
      <c r="H342" s="7">
        <v>1.8071721738640301E-3</v>
      </c>
      <c r="I342" s="7">
        <v>0.89752369967198942</v>
      </c>
      <c r="J342" s="7">
        <v>2.2953771745019984E-2</v>
      </c>
      <c r="K342" s="8">
        <v>5.2300000000000006E-2</v>
      </c>
      <c r="L342" s="8">
        <v>8.3599999999999994E-2</v>
      </c>
      <c r="M342" s="8">
        <v>2.12E-2</v>
      </c>
      <c r="N342" s="7">
        <v>3.1299999999999988E-2</v>
      </c>
      <c r="O342" s="7">
        <v>1.7899999999999985E-2</v>
      </c>
      <c r="P342" s="7">
        <v>-1.06E-2</v>
      </c>
      <c r="Q342" s="7">
        <v>5.6710775047259521E-3</v>
      </c>
      <c r="R342" s="7">
        <v>5.1193000000000002E-2</v>
      </c>
      <c r="S342" s="7">
        <v>4.4000000000000003E-3</v>
      </c>
    </row>
    <row r="343" spans="1:19" x14ac:dyDescent="0.3">
      <c r="A343" s="3">
        <v>197506</v>
      </c>
      <c r="B343" s="6">
        <f t="shared" si="10"/>
        <v>4.1092050672066685E-2</v>
      </c>
      <c r="C343" s="4">
        <f t="shared" si="11"/>
        <v>4.2119999999999998E-2</v>
      </c>
      <c r="D343" s="5">
        <v>3.897468221451833E-2</v>
      </c>
      <c r="E343" s="5">
        <v>4.0702139330773449E-2</v>
      </c>
      <c r="F343" s="7">
        <v>8.3622229225759015E-2</v>
      </c>
      <c r="G343" s="7">
        <v>0.46608040201005024</v>
      </c>
      <c r="H343" s="7">
        <v>1.3533554535377027E-3</v>
      </c>
      <c r="I343" s="7">
        <v>0.84983901978407039</v>
      </c>
      <c r="J343" s="7">
        <v>2.2961696053409884E-2</v>
      </c>
      <c r="K343" s="8">
        <v>5.3399999999999996E-2</v>
      </c>
      <c r="L343" s="8">
        <v>8.1299999999999997E-2</v>
      </c>
      <c r="M343" s="8">
        <v>2.92E-2</v>
      </c>
      <c r="N343" s="7">
        <v>2.7900000000000001E-2</v>
      </c>
      <c r="O343" s="7">
        <v>1.8499999999999989E-2</v>
      </c>
      <c r="P343" s="7">
        <v>1.1999999999999997E-3</v>
      </c>
      <c r="Q343" s="7">
        <v>7.5187969924812581E-3</v>
      </c>
      <c r="R343" s="7">
        <v>4.6219999999999997E-2</v>
      </c>
      <c r="S343" s="7">
        <v>4.0999999999999995E-3</v>
      </c>
    </row>
    <row r="344" spans="1:19" x14ac:dyDescent="0.3">
      <c r="A344" s="3">
        <v>197507</v>
      </c>
      <c r="B344" s="6">
        <f t="shared" si="10"/>
        <v>-7.2536449191308333E-2</v>
      </c>
      <c r="C344" s="4">
        <f t="shared" si="11"/>
        <v>-7.0304000000000005E-2</v>
      </c>
      <c r="D344" s="5">
        <v>4.1802816901408447E-2</v>
      </c>
      <c r="E344" s="5">
        <v>3.897468221451833E-2</v>
      </c>
      <c r="F344" s="7">
        <v>8.8938929577464784E-2</v>
      </c>
      <c r="G344" s="7">
        <v>0.47001709037883888</v>
      </c>
      <c r="H344" s="7">
        <v>1.244403730967414E-3</v>
      </c>
      <c r="I344" s="7">
        <v>0.89836562398527975</v>
      </c>
      <c r="J344" s="7">
        <v>2.562789613882191E-2</v>
      </c>
      <c r="K344" s="8">
        <v>6.13E-2</v>
      </c>
      <c r="L344" s="8">
        <v>8.2900000000000001E-2</v>
      </c>
      <c r="M344" s="8">
        <v>-8.6999999999999994E-3</v>
      </c>
      <c r="N344" s="7">
        <v>2.1600000000000001E-2</v>
      </c>
      <c r="O344" s="7">
        <v>1.7100000000000018E-2</v>
      </c>
      <c r="P344" s="7">
        <v>5.6999999999999993E-3</v>
      </c>
      <c r="Q344" s="7">
        <v>1.1194029850746245E-2</v>
      </c>
      <c r="R344" s="7">
        <v>-6.5504000000000007E-2</v>
      </c>
      <c r="S344" s="7">
        <v>4.7999999999999996E-3</v>
      </c>
    </row>
    <row r="345" spans="1:19" x14ac:dyDescent="0.3">
      <c r="A345" s="3">
        <v>197508</v>
      </c>
      <c r="B345" s="6">
        <f t="shared" si="10"/>
        <v>-2.057547761966114E-2</v>
      </c>
      <c r="C345" s="4">
        <f t="shared" si="11"/>
        <v>-2.0462999999999999E-2</v>
      </c>
      <c r="D345" s="5">
        <v>4.2702578268876613E-2</v>
      </c>
      <c r="E345" s="5">
        <v>4.1802816901408447E-2</v>
      </c>
      <c r="F345" s="7">
        <v>9.0085980662983428E-2</v>
      </c>
      <c r="G345" s="7">
        <v>0.47402024104759749</v>
      </c>
      <c r="H345" s="7">
        <v>2.3431363500697991E-3</v>
      </c>
      <c r="I345" s="7">
        <v>0.89424665405703063</v>
      </c>
      <c r="J345" s="7">
        <v>2.6365350980469399E-2</v>
      </c>
      <c r="K345" s="8">
        <v>6.4399999999999999E-2</v>
      </c>
      <c r="L345" s="8">
        <v>8.4400000000000003E-2</v>
      </c>
      <c r="M345" s="8">
        <v>-6.7999999999999996E-3</v>
      </c>
      <c r="N345" s="7">
        <v>2.0000000000000004E-2</v>
      </c>
      <c r="O345" s="7">
        <v>1.6399999999999998E-2</v>
      </c>
      <c r="P345" s="7">
        <v>-1.0700000000000001E-2</v>
      </c>
      <c r="Q345" s="7">
        <v>1.8450184501843658E-3</v>
      </c>
      <c r="R345" s="7">
        <v>-1.5663E-2</v>
      </c>
      <c r="S345" s="7">
        <v>4.7999999999999996E-3</v>
      </c>
    </row>
    <row r="346" spans="1:19" x14ac:dyDescent="0.3">
      <c r="A346" s="3">
        <v>197509</v>
      </c>
      <c r="B346" s="6">
        <f t="shared" si="10"/>
        <v>-3.8067493953616999E-2</v>
      </c>
      <c r="C346" s="4">
        <f t="shared" si="11"/>
        <v>-3.755E-2</v>
      </c>
      <c r="D346" s="5">
        <v>4.4235125789912955E-2</v>
      </c>
      <c r="E346" s="5">
        <v>4.2702578268876613E-2</v>
      </c>
      <c r="F346" s="7">
        <v>9.252414450935971E-2</v>
      </c>
      <c r="G346" s="7">
        <v>0.47809278350515466</v>
      </c>
      <c r="H346" s="7">
        <v>2.3046247877807364E-3</v>
      </c>
      <c r="I346" s="7">
        <v>0.94094825414420313</v>
      </c>
      <c r="J346" s="7">
        <v>2.7918455986417019E-2</v>
      </c>
      <c r="K346" s="8">
        <v>6.4199999999999993E-2</v>
      </c>
      <c r="L346" s="8">
        <v>8.6199999999999999E-2</v>
      </c>
      <c r="M346" s="8">
        <v>-9.7999999999999997E-3</v>
      </c>
      <c r="N346" s="7">
        <v>2.2000000000000006E-2</v>
      </c>
      <c r="O346" s="7">
        <v>1.6600000000000004E-2</v>
      </c>
      <c r="P346" s="7">
        <v>-2.8000000000000004E-3</v>
      </c>
      <c r="Q346" s="7">
        <v>5.5248618784531356E-3</v>
      </c>
      <c r="R346" s="7">
        <v>-3.2250000000000001E-2</v>
      </c>
      <c r="S346" s="7">
        <v>5.3E-3</v>
      </c>
    </row>
    <row r="347" spans="1:19" x14ac:dyDescent="0.3">
      <c r="A347" s="3">
        <v>197510</v>
      </c>
      <c r="B347" s="6">
        <f t="shared" si="10"/>
        <v>5.7254261363461532E-2</v>
      </c>
      <c r="C347" s="4">
        <f t="shared" si="11"/>
        <v>5.9254999999999995E-2</v>
      </c>
      <c r="D347" s="5">
        <v>4.1554357592093437E-2</v>
      </c>
      <c r="E347" s="5">
        <v>4.4115893644926671E-2</v>
      </c>
      <c r="F347" s="7">
        <v>8.790060646900269E-2</v>
      </c>
      <c r="G347" s="7">
        <v>0.47274255845717272</v>
      </c>
      <c r="H347" s="7">
        <v>2.1545815811105226E-3</v>
      </c>
      <c r="I347" s="7">
        <v>0.89349791875986795</v>
      </c>
      <c r="J347" s="7">
        <v>2.58974502715709E-2</v>
      </c>
      <c r="K347" s="8">
        <v>5.96E-2</v>
      </c>
      <c r="L347" s="8">
        <v>8.1900000000000001E-2</v>
      </c>
      <c r="M347" s="8">
        <v>4.7500000000000001E-2</v>
      </c>
      <c r="N347" s="7">
        <v>2.23E-2</v>
      </c>
      <c r="O347" s="7">
        <v>1.7599999999999991E-2</v>
      </c>
      <c r="P347" s="7">
        <v>7.8000000000000014E-3</v>
      </c>
      <c r="Q347" s="7">
        <v>5.494505494505475E-3</v>
      </c>
      <c r="R347" s="7">
        <v>6.4854999999999996E-2</v>
      </c>
      <c r="S347" s="7">
        <v>5.6000000000000008E-3</v>
      </c>
    </row>
    <row r="348" spans="1:19" x14ac:dyDescent="0.3">
      <c r="A348" s="3">
        <v>197511</v>
      </c>
      <c r="B348" s="6">
        <f t="shared" si="10"/>
        <v>2.5553588372345105E-2</v>
      </c>
      <c r="C348" s="4">
        <f t="shared" si="11"/>
        <v>2.5989000000000002E-2</v>
      </c>
      <c r="D348" s="5">
        <v>4.0442788250767206E-2</v>
      </c>
      <c r="E348" s="5">
        <v>4.1442048517520209E-2</v>
      </c>
      <c r="F348" s="7">
        <v>8.6511727312582207E-2</v>
      </c>
      <c r="G348" s="7">
        <v>0.46748330552504458</v>
      </c>
      <c r="H348" s="7">
        <v>8.1268542463116915E-4</v>
      </c>
      <c r="I348" s="7">
        <v>0.8679284743281398</v>
      </c>
      <c r="J348" s="7">
        <v>2.4621498189431525E-2</v>
      </c>
      <c r="K348" s="8">
        <v>5.4800000000000001E-2</v>
      </c>
      <c r="L348" s="8">
        <v>8.3799999999999999E-2</v>
      </c>
      <c r="M348" s="8">
        <v>-1.09E-2</v>
      </c>
      <c r="N348" s="7">
        <v>2.8999999999999998E-2</v>
      </c>
      <c r="O348" s="7">
        <v>1.780000000000001E-2</v>
      </c>
      <c r="P348" s="7">
        <v>2.0999999999999994E-3</v>
      </c>
      <c r="Q348" s="7">
        <v>7.2859744990891873E-3</v>
      </c>
      <c r="R348" s="7">
        <v>3.0089000000000001E-2</v>
      </c>
      <c r="S348" s="7">
        <v>4.0999999999999995E-3</v>
      </c>
    </row>
    <row r="349" spans="1:19" x14ac:dyDescent="0.3">
      <c r="A349" s="3">
        <v>197512</v>
      </c>
      <c r="B349" s="6">
        <f t="shared" si="10"/>
        <v>-1.5328871614914134E-2</v>
      </c>
      <c r="C349" s="4">
        <f t="shared" si="11"/>
        <v>-1.5285E-2</v>
      </c>
      <c r="D349" s="5">
        <v>4.0802749750526668E-2</v>
      </c>
      <c r="E349" s="5">
        <v>4.033318719859711E-2</v>
      </c>
      <c r="F349" s="7">
        <v>8.8258121742987028E-2</v>
      </c>
      <c r="G349" s="7">
        <v>0.46231155778894473</v>
      </c>
      <c r="H349" s="7">
        <v>1.3307999246307365E-3</v>
      </c>
      <c r="I349" s="7">
        <v>0.87633885102239539</v>
      </c>
      <c r="J349" s="7">
        <v>2.3710973159138928E-2</v>
      </c>
      <c r="K349" s="8">
        <v>5.4400000000000004E-2</v>
      </c>
      <c r="L349" s="8">
        <v>8.0500000000000002E-2</v>
      </c>
      <c r="M349" s="8">
        <v>3.9E-2</v>
      </c>
      <c r="N349" s="7">
        <v>2.6099999999999998E-2</v>
      </c>
      <c r="O349" s="7">
        <v>1.7700000000000007E-2</v>
      </c>
      <c r="P349" s="7">
        <v>5.2000000000000032E-3</v>
      </c>
      <c r="Q349" s="7">
        <v>3.6166365280290158E-3</v>
      </c>
      <c r="R349" s="7">
        <v>-1.0485E-2</v>
      </c>
      <c r="S349" s="7">
        <v>4.7999999999999996E-3</v>
      </c>
    </row>
    <row r="350" spans="1:19" x14ac:dyDescent="0.3">
      <c r="A350" s="3">
        <v>197601</v>
      </c>
      <c r="B350" s="6">
        <f t="shared" si="10"/>
        <v>0.1087673662420853</v>
      </c>
      <c r="C350" s="4">
        <f t="shared" si="11"/>
        <v>0.115443</v>
      </c>
      <c r="D350" s="5">
        <v>3.6519234582589731E-2</v>
      </c>
      <c r="E350" s="5">
        <v>4.0839671803969399E-2</v>
      </c>
      <c r="F350" s="7">
        <v>8.1234681737061262E-2</v>
      </c>
      <c r="G350" s="7">
        <v>0.44955225775112201</v>
      </c>
      <c r="H350" s="7">
        <v>1.9782825918537783E-3</v>
      </c>
      <c r="I350" s="7">
        <v>0.76593388565335085</v>
      </c>
      <c r="J350" s="7">
        <v>2.1852188906851797E-2</v>
      </c>
      <c r="K350" s="8">
        <v>4.87E-2</v>
      </c>
      <c r="L350" s="8">
        <v>8.0199999999999994E-2</v>
      </c>
      <c r="M350" s="8">
        <v>8.9999999999999993E-3</v>
      </c>
      <c r="N350" s="7">
        <v>3.1499999999999993E-2</v>
      </c>
      <c r="O350" s="7">
        <v>1.8100000000000005E-2</v>
      </c>
      <c r="P350" s="7">
        <v>9.8000000000000014E-3</v>
      </c>
      <c r="Q350" s="7">
        <v>1.8018018018017834E-3</v>
      </c>
      <c r="R350" s="7">
        <v>0.120143</v>
      </c>
      <c r="S350" s="7">
        <v>4.6999999999999993E-3</v>
      </c>
    </row>
    <row r="351" spans="1:19" x14ac:dyDescent="0.3">
      <c r="A351" s="3">
        <v>197602</v>
      </c>
      <c r="B351" s="6">
        <f t="shared" si="10"/>
        <v>-9.1668626800837701E-3</v>
      </c>
      <c r="C351" s="4">
        <f t="shared" si="11"/>
        <v>-9.1560000000000009E-3</v>
      </c>
      <c r="D351" s="5">
        <v>3.6973924380704043E-2</v>
      </c>
      <c r="E351" s="5">
        <v>3.6552349791790603E-2</v>
      </c>
      <c r="F351" s="7">
        <v>8.4511784174104904E-2</v>
      </c>
      <c r="G351" s="7">
        <v>0.43750022250782339</v>
      </c>
      <c r="H351" s="7">
        <v>1.2214388390446114E-3</v>
      </c>
      <c r="I351" s="7">
        <v>0.76803652029076397</v>
      </c>
      <c r="J351" s="7">
        <v>2.2233099522830077E-2</v>
      </c>
      <c r="K351" s="8">
        <v>4.8799999999999996E-2</v>
      </c>
      <c r="L351" s="8">
        <v>8.0199999999999994E-2</v>
      </c>
      <c r="M351" s="8">
        <v>6.1999999999999998E-3</v>
      </c>
      <c r="N351" s="7">
        <v>3.1399999999999997E-2</v>
      </c>
      <c r="O351" s="7">
        <v>1.6899999999999998E-2</v>
      </c>
      <c r="P351" s="7">
        <v>-9.9999999999999395E-5</v>
      </c>
      <c r="Q351" s="7">
        <v>3.597122302158251E-3</v>
      </c>
      <c r="R351" s="7">
        <v>-5.7559999999999998E-3</v>
      </c>
      <c r="S351" s="7">
        <v>3.4000000000000002E-3</v>
      </c>
    </row>
    <row r="352" spans="1:19" x14ac:dyDescent="0.3">
      <c r="A352" s="3">
        <v>197603</v>
      </c>
      <c r="B352" s="6">
        <f t="shared" si="10"/>
        <v>2.8126608611922493E-2</v>
      </c>
      <c r="C352" s="4">
        <f t="shared" si="11"/>
        <v>2.8640000000000002E-2</v>
      </c>
      <c r="D352" s="5">
        <v>3.5905419869611759E-2</v>
      </c>
      <c r="E352" s="5">
        <v>3.7007321231571556E-2</v>
      </c>
      <c r="F352" s="7">
        <v>8.4265836333560384E-2</v>
      </c>
      <c r="G352" s="7">
        <v>0.42609699769053117</v>
      </c>
      <c r="H352" s="7">
        <v>1.2657160524404583E-3</v>
      </c>
      <c r="I352" s="7">
        <v>0.78403121716944313</v>
      </c>
      <c r="J352" s="7">
        <v>1.5072141821724408E-2</v>
      </c>
      <c r="K352" s="8">
        <v>0.05</v>
      </c>
      <c r="L352" s="8">
        <v>7.9200000000000007E-2</v>
      </c>
      <c r="M352" s="8">
        <v>1.66E-2</v>
      </c>
      <c r="N352" s="7">
        <v>2.9200000000000004E-2</v>
      </c>
      <c r="O352" s="7">
        <v>1.6E-2</v>
      </c>
      <c r="P352" s="7">
        <v>9.9999999999999395E-5</v>
      </c>
      <c r="Q352" s="7">
        <v>1.7921146953405742E-3</v>
      </c>
      <c r="R352" s="7">
        <v>3.2640000000000002E-2</v>
      </c>
      <c r="S352" s="7">
        <v>4.0000000000000001E-3</v>
      </c>
    </row>
    <row r="353" spans="1:19" x14ac:dyDescent="0.3">
      <c r="A353" s="3">
        <v>197604</v>
      </c>
      <c r="B353" s="6">
        <f t="shared" si="10"/>
        <v>-1.384767865178092E-2</v>
      </c>
      <c r="C353" s="4">
        <f t="shared" si="11"/>
        <v>-1.3809999999999999E-2</v>
      </c>
      <c r="D353" s="5">
        <v>3.6534140102321921E-2</v>
      </c>
      <c r="E353" s="5">
        <v>3.6132431643475724E-2</v>
      </c>
      <c r="F353" s="7">
        <v>8.7137642660369927E-2</v>
      </c>
      <c r="G353" s="7">
        <v>0.41926931905558185</v>
      </c>
      <c r="H353" s="7">
        <v>1.0071322817876225E-3</v>
      </c>
      <c r="I353" s="7">
        <v>0.78607613984049762</v>
      </c>
      <c r="J353" s="7">
        <v>1.4239495429354787E-2</v>
      </c>
      <c r="K353" s="8">
        <v>4.8600000000000004E-2</v>
      </c>
      <c r="L353" s="8">
        <v>7.9699999999999993E-2</v>
      </c>
      <c r="M353" s="8">
        <v>1.8E-3</v>
      </c>
      <c r="N353" s="7">
        <v>3.1099999999999989E-2</v>
      </c>
      <c r="O353" s="7">
        <v>1.5399999999999983E-2</v>
      </c>
      <c r="P353" s="7">
        <v>-3.3E-3</v>
      </c>
      <c r="Q353" s="7">
        <v>3.5778175313059268E-3</v>
      </c>
      <c r="R353" s="7">
        <v>-9.6100000000000005E-3</v>
      </c>
      <c r="S353" s="7">
        <v>4.1999999999999997E-3</v>
      </c>
    </row>
    <row r="354" spans="1:19" x14ac:dyDescent="0.3">
      <c r="A354" s="3">
        <v>197605</v>
      </c>
      <c r="B354" s="6">
        <f t="shared" si="10"/>
        <v>-1.1842285856239573E-2</v>
      </c>
      <c r="C354" s="4">
        <f t="shared" si="11"/>
        <v>-1.1816E-2</v>
      </c>
      <c r="D354" s="5">
        <v>3.7299560790576961E-2</v>
      </c>
      <c r="E354" s="5">
        <v>3.6763774104683199E-2</v>
      </c>
      <c r="F354" s="7">
        <v>9.0370632860850467E-2</v>
      </c>
      <c r="G354" s="7">
        <v>0.41273984268771818</v>
      </c>
      <c r="H354" s="7">
        <v>9.3647026791838909E-4</v>
      </c>
      <c r="I354" s="7">
        <v>0.80350276345067317</v>
      </c>
      <c r="J354" s="7">
        <v>1.4148330780405649E-2</v>
      </c>
      <c r="K354" s="8">
        <v>5.2000000000000005E-2</v>
      </c>
      <c r="L354" s="8">
        <v>8.2100000000000006E-2</v>
      </c>
      <c r="M354" s="8">
        <v>-1.5800000000000002E-2</v>
      </c>
      <c r="N354" s="7">
        <v>3.0100000000000002E-2</v>
      </c>
      <c r="O354" s="7">
        <v>1.2799999999999992E-2</v>
      </c>
      <c r="P354" s="7">
        <v>5.5000000000000014E-3</v>
      </c>
      <c r="Q354" s="7">
        <v>7.1301247771835552E-3</v>
      </c>
      <c r="R354" s="7">
        <v>-8.116E-3</v>
      </c>
      <c r="S354" s="7">
        <v>3.7000000000000002E-3</v>
      </c>
    </row>
    <row r="355" spans="1:19" x14ac:dyDescent="0.3">
      <c r="A355" s="3">
        <v>197606</v>
      </c>
      <c r="B355" s="6">
        <f t="shared" si="10"/>
        <v>3.8729435241473077E-2</v>
      </c>
      <c r="C355" s="4">
        <f t="shared" si="11"/>
        <v>3.9659E-2</v>
      </c>
      <c r="D355" s="5">
        <v>3.6056770233985423E-2</v>
      </c>
      <c r="E355" s="5">
        <v>3.7532441605110795E-2</v>
      </c>
      <c r="F355" s="7">
        <v>8.870349060222478E-2</v>
      </c>
      <c r="G355" s="7">
        <v>0.40648648648648644</v>
      </c>
      <c r="H355" s="7">
        <v>9.715815060038469E-4</v>
      </c>
      <c r="I355" s="7">
        <v>0.78142763118530489</v>
      </c>
      <c r="J355" s="7">
        <v>1.8925041549295564E-2</v>
      </c>
      <c r="K355" s="8">
        <v>5.4100000000000002E-2</v>
      </c>
      <c r="L355" s="8">
        <v>8.0699999999999994E-2</v>
      </c>
      <c r="M355" s="8">
        <v>2.0799999999999999E-2</v>
      </c>
      <c r="N355" s="7">
        <v>2.6599999999999992E-2</v>
      </c>
      <c r="O355" s="7">
        <v>1.2700000000000003E-2</v>
      </c>
      <c r="P355" s="7">
        <v>-5.7999999999999996E-3</v>
      </c>
      <c r="Q355" s="7">
        <v>5.3097345132742113E-3</v>
      </c>
      <c r="R355" s="7">
        <v>4.3958999999999998E-2</v>
      </c>
      <c r="S355" s="7">
        <v>4.3E-3</v>
      </c>
    </row>
    <row r="356" spans="1:19" x14ac:dyDescent="0.3">
      <c r="A356" s="3">
        <v>197607</v>
      </c>
      <c r="B356" s="6">
        <f t="shared" si="10"/>
        <v>-1.1917049084332137E-2</v>
      </c>
      <c r="C356" s="4">
        <f t="shared" si="11"/>
        <v>-1.1901999999999999E-2</v>
      </c>
      <c r="D356" s="5">
        <v>3.6639597834493429E-2</v>
      </c>
      <c r="E356" s="5">
        <v>3.634445723053318E-2</v>
      </c>
      <c r="F356" s="7">
        <v>9.0390564578499616E-2</v>
      </c>
      <c r="G356" s="7">
        <v>0.40534759358288774</v>
      </c>
      <c r="H356" s="7">
        <v>4.8715216300221624E-4</v>
      </c>
      <c r="I356" s="7">
        <v>0.7958238544036399</v>
      </c>
      <c r="J356" s="7">
        <v>1.8842781071580311E-2</v>
      </c>
      <c r="K356" s="8">
        <v>5.2300000000000006E-2</v>
      </c>
      <c r="L356" s="8">
        <v>8.0500000000000002E-2</v>
      </c>
      <c r="M356" s="8">
        <v>7.7999999999999996E-3</v>
      </c>
      <c r="N356" s="7">
        <v>2.8199999999999996E-2</v>
      </c>
      <c r="O356" s="7">
        <v>1.26E-2</v>
      </c>
      <c r="P356" s="7">
        <v>7.1000000000000004E-3</v>
      </c>
      <c r="Q356" s="7">
        <v>5.2816901408452299E-3</v>
      </c>
      <c r="R356" s="7">
        <v>-7.2020000000000001E-3</v>
      </c>
      <c r="S356" s="7">
        <v>4.6999999999999993E-3</v>
      </c>
    </row>
    <row r="357" spans="1:19" x14ac:dyDescent="0.3">
      <c r="A357" s="3">
        <v>197608</v>
      </c>
      <c r="B357" s="6">
        <f t="shared" si="10"/>
        <v>-2.5934816578254329E-3</v>
      </c>
      <c r="C357" s="4">
        <f t="shared" si="11"/>
        <v>-2.601E-3</v>
      </c>
      <c r="D357" s="5">
        <v>3.7119813429209988E-2</v>
      </c>
      <c r="E357" s="5">
        <v>3.6929621036349572E-2</v>
      </c>
      <c r="F357" s="7">
        <v>9.1827810708385971E-2</v>
      </c>
      <c r="G357" s="7">
        <v>0.40423280423280422</v>
      </c>
      <c r="H357" s="7">
        <v>7.4452239677863074E-4</v>
      </c>
      <c r="I357" s="7">
        <v>0.80473226939429421</v>
      </c>
      <c r="J357" s="7">
        <v>2.0630390390478658E-2</v>
      </c>
      <c r="K357" s="8">
        <v>5.1399999999999994E-2</v>
      </c>
      <c r="L357" s="8">
        <v>7.9000000000000001E-2</v>
      </c>
      <c r="M357" s="8">
        <v>2.1100000000000001E-2</v>
      </c>
      <c r="N357" s="7">
        <v>2.7600000000000006E-2</v>
      </c>
      <c r="O357" s="7">
        <v>1.1900000000000008E-2</v>
      </c>
      <c r="P357" s="7">
        <v>1.9999999999999983E-3</v>
      </c>
      <c r="Q357" s="7">
        <v>5.2539404553415547E-3</v>
      </c>
      <c r="R357" s="7">
        <v>1.5989999999999999E-3</v>
      </c>
      <c r="S357" s="7">
        <v>4.1999999999999997E-3</v>
      </c>
    </row>
    <row r="358" spans="1:19" x14ac:dyDescent="0.3">
      <c r="A358" s="3">
        <v>197609</v>
      </c>
      <c r="B358" s="6">
        <f t="shared" si="10"/>
        <v>1.9737226636585933E-2</v>
      </c>
      <c r="C358" s="4">
        <f t="shared" si="11"/>
        <v>2.0021000000000001E-2</v>
      </c>
      <c r="D358" s="5">
        <v>3.6583048270619541E-2</v>
      </c>
      <c r="E358" s="5">
        <v>3.7411330288601691E-2</v>
      </c>
      <c r="F358" s="7">
        <v>9.074496389205626E-2</v>
      </c>
      <c r="G358" s="7">
        <v>0.40314136125654448</v>
      </c>
      <c r="H358" s="7">
        <v>8.9068827704749328E-4</v>
      </c>
      <c r="I358" s="7">
        <v>0.79136327371514559</v>
      </c>
      <c r="J358" s="7">
        <v>2.3783504264894621E-2</v>
      </c>
      <c r="K358" s="8">
        <v>5.0799999999999998E-2</v>
      </c>
      <c r="L358" s="8">
        <v>7.8100000000000003E-2</v>
      </c>
      <c r="M358" s="8">
        <v>1.4500000000000001E-2</v>
      </c>
      <c r="N358" s="7">
        <v>2.7300000000000005E-2</v>
      </c>
      <c r="O358" s="7">
        <v>1.0199999999999987E-2</v>
      </c>
      <c r="P358" s="7">
        <v>2.1999999999999988E-3</v>
      </c>
      <c r="Q358" s="7">
        <v>3.4843205574912606E-3</v>
      </c>
      <c r="R358" s="7">
        <v>2.4421000000000002E-2</v>
      </c>
      <c r="S358" s="7">
        <v>4.4000000000000003E-3</v>
      </c>
    </row>
    <row r="359" spans="1:19" x14ac:dyDescent="0.3">
      <c r="A359" s="3">
        <v>197610</v>
      </c>
      <c r="B359" s="6">
        <f t="shared" si="10"/>
        <v>-2.4509654524912647E-2</v>
      </c>
      <c r="C359" s="4">
        <f t="shared" si="11"/>
        <v>-2.4310999999999999E-2</v>
      </c>
      <c r="D359" s="5">
        <v>3.8062876579203105E-2</v>
      </c>
      <c r="E359" s="5">
        <v>3.7216552641581149E-2</v>
      </c>
      <c r="F359" s="7">
        <v>9.3974732750242942E-2</v>
      </c>
      <c r="G359" s="7">
        <v>0.40503309203722854</v>
      </c>
      <c r="H359" s="7">
        <v>1.2699929719077691E-3</v>
      </c>
      <c r="I359" s="7">
        <v>0.81207963271947192</v>
      </c>
      <c r="J359" s="7">
        <v>2.5569982398938172E-2</v>
      </c>
      <c r="K359" s="8">
        <v>4.9200000000000001E-2</v>
      </c>
      <c r="L359" s="8">
        <v>7.7899999999999997E-2</v>
      </c>
      <c r="M359" s="8">
        <v>8.3999999999999995E-3</v>
      </c>
      <c r="N359" s="7">
        <v>2.8699999999999996E-2</v>
      </c>
      <c r="O359" s="7">
        <v>9.7000000000000003E-3</v>
      </c>
      <c r="P359" s="7">
        <v>-1.3999999999999993E-3</v>
      </c>
      <c r="Q359" s="7">
        <v>5.2083333333332593E-3</v>
      </c>
      <c r="R359" s="7">
        <v>-2.0211E-2</v>
      </c>
      <c r="S359" s="7">
        <v>4.0999999999999995E-3</v>
      </c>
    </row>
    <row r="360" spans="1:19" x14ac:dyDescent="0.3">
      <c r="A360" s="3">
        <v>197611</v>
      </c>
      <c r="B360" s="6">
        <f t="shared" si="10"/>
        <v>-5.0335634863685579E-3</v>
      </c>
      <c r="C360" s="4">
        <f t="shared" si="11"/>
        <v>-5.0410000000000003E-3</v>
      </c>
      <c r="D360" s="5">
        <v>3.9014005876591581E-2</v>
      </c>
      <c r="E360" s="5">
        <v>3.8710689990281828E-2</v>
      </c>
      <c r="F360" s="7">
        <v>9.5886385896180218E-2</v>
      </c>
      <c r="G360" s="7">
        <v>0.40687742594484172</v>
      </c>
      <c r="H360" s="7">
        <v>1.1179253215342041E-3</v>
      </c>
      <c r="I360" s="7">
        <v>0.82726293786026472</v>
      </c>
      <c r="J360" s="7">
        <v>2.7896279257779068E-2</v>
      </c>
      <c r="K360" s="8">
        <v>4.7500000000000001E-2</v>
      </c>
      <c r="L360" s="8">
        <v>7.4899999999999994E-2</v>
      </c>
      <c r="M360" s="8">
        <v>3.39E-2</v>
      </c>
      <c r="N360" s="7">
        <v>2.7399999999999994E-2</v>
      </c>
      <c r="O360" s="7">
        <v>9.8000000000000032E-3</v>
      </c>
      <c r="P360" s="7">
        <v>-2.0000000000000018E-3</v>
      </c>
      <c r="Q360" s="7">
        <v>1.7271157167531026E-3</v>
      </c>
      <c r="R360" s="7">
        <v>-1.041E-3</v>
      </c>
      <c r="S360" s="7">
        <v>4.0000000000000001E-3</v>
      </c>
    </row>
    <row r="361" spans="1:19" x14ac:dyDescent="0.3">
      <c r="A361" s="3">
        <v>197612</v>
      </c>
      <c r="B361" s="6">
        <f t="shared" si="10"/>
        <v>4.8386933575370245E-2</v>
      </c>
      <c r="C361" s="4">
        <f t="shared" si="11"/>
        <v>4.9775E-2</v>
      </c>
      <c r="D361" s="5">
        <v>3.768844221105528E-2</v>
      </c>
      <c r="E361" s="5">
        <v>3.9666993143976495E-2</v>
      </c>
      <c r="F361" s="7">
        <v>9.2220361064582174E-2</v>
      </c>
      <c r="G361" s="7">
        <v>0.40867810292633699</v>
      </c>
      <c r="H361" s="7">
        <v>5.762272595541424E-4</v>
      </c>
      <c r="I361" s="7">
        <v>0.7799731249688947</v>
      </c>
      <c r="J361" s="7">
        <v>2.8567357816801194E-2</v>
      </c>
      <c r="K361" s="8">
        <v>4.3499999999999997E-2</v>
      </c>
      <c r="L361" s="8">
        <v>7.2099999999999997E-2</v>
      </c>
      <c r="M361" s="8">
        <v>3.27E-2</v>
      </c>
      <c r="N361" s="7">
        <v>2.86E-2</v>
      </c>
      <c r="O361" s="7">
        <v>1.139999999999998E-2</v>
      </c>
      <c r="P361" s="7">
        <v>2.0000000000000018E-3</v>
      </c>
      <c r="Q361" s="7">
        <v>3.4482758620690834E-3</v>
      </c>
      <c r="R361" s="7">
        <v>5.3775000000000003E-2</v>
      </c>
      <c r="S361" s="7">
        <v>4.0000000000000001E-3</v>
      </c>
    </row>
    <row r="362" spans="1:19" x14ac:dyDescent="0.3">
      <c r="A362" s="3">
        <v>197701</v>
      </c>
      <c r="B362" s="6">
        <f t="shared" si="10"/>
        <v>-5.4522685679918984E-2</v>
      </c>
      <c r="C362" s="4">
        <f t="shared" si="11"/>
        <v>-5.3253999999999996E-2</v>
      </c>
      <c r="D362" s="5">
        <v>4.0151622071939619E-2</v>
      </c>
      <c r="E362" s="5">
        <v>3.8122743346361433E-2</v>
      </c>
      <c r="F362" s="7">
        <v>9.7683720474370295E-2</v>
      </c>
      <c r="G362" s="7">
        <v>0.41103698627525537</v>
      </c>
      <c r="H362" s="7">
        <v>6.9562997675253087E-4</v>
      </c>
      <c r="I362" s="7">
        <v>0.82106520531869198</v>
      </c>
      <c r="J362" s="7">
        <v>2.9599797112593727E-2</v>
      </c>
      <c r="K362" s="8">
        <v>4.6199999999999998E-2</v>
      </c>
      <c r="L362" s="8">
        <v>7.6399999999999996E-2</v>
      </c>
      <c r="M362" s="8">
        <v>-3.8800000000000001E-2</v>
      </c>
      <c r="N362" s="7">
        <v>3.0199999999999998E-2</v>
      </c>
      <c r="O362" s="7">
        <v>1.1200000000000002E-2</v>
      </c>
      <c r="P362" s="7">
        <v>8.5000000000000006E-3</v>
      </c>
      <c r="Q362" s="7">
        <v>5.1546391752577136E-3</v>
      </c>
      <c r="R362" s="7">
        <v>-4.9653999999999997E-2</v>
      </c>
      <c r="S362" s="7">
        <v>3.5999999999999999E-3</v>
      </c>
    </row>
    <row r="363" spans="1:19" x14ac:dyDescent="0.3">
      <c r="A363" s="3">
        <v>197702</v>
      </c>
      <c r="B363" s="6">
        <f t="shared" si="10"/>
        <v>-1.9255452658805995E-2</v>
      </c>
      <c r="C363" s="4">
        <f t="shared" si="11"/>
        <v>-1.9137999999999999E-2</v>
      </c>
      <c r="D363" s="5">
        <v>4.1508014425966737E-2</v>
      </c>
      <c r="E363" s="5">
        <v>4.0608938547486033E-2</v>
      </c>
      <c r="F363" s="7">
        <v>0.10041374474053297</v>
      </c>
      <c r="G363" s="7">
        <v>0.41336984825356915</v>
      </c>
      <c r="H363" s="7">
        <v>3.3467555281150842E-4</v>
      </c>
      <c r="I363" s="7">
        <v>0.83680399820593332</v>
      </c>
      <c r="J363" s="7">
        <v>2.7970217325254496E-2</v>
      </c>
      <c r="K363" s="8">
        <v>4.6699999999999998E-2</v>
      </c>
      <c r="L363" s="8">
        <v>7.7499999999999999E-2</v>
      </c>
      <c r="M363" s="8">
        <v>-4.8999999999999998E-3</v>
      </c>
      <c r="N363" s="7">
        <v>3.0800000000000001E-2</v>
      </c>
      <c r="O363" s="7">
        <v>1.0800000000000004E-2</v>
      </c>
      <c r="P363" s="7">
        <v>2.8999999999999998E-3</v>
      </c>
      <c r="Q363" s="7">
        <v>1.025641025641022E-2</v>
      </c>
      <c r="R363" s="7">
        <v>-1.5637999999999999E-2</v>
      </c>
      <c r="S363" s="7">
        <v>3.4999999999999996E-3</v>
      </c>
    </row>
    <row r="364" spans="1:19" x14ac:dyDescent="0.3">
      <c r="A364" s="3">
        <v>197703</v>
      </c>
      <c r="B364" s="6">
        <f t="shared" si="10"/>
        <v>-1.6373605764063048E-2</v>
      </c>
      <c r="C364" s="4">
        <f t="shared" si="11"/>
        <v>-1.6302000000000001E-2</v>
      </c>
      <c r="D364" s="5">
        <v>4.2572647835805735E-2</v>
      </c>
      <c r="E364" s="5">
        <v>4.1975556000801446E-2</v>
      </c>
      <c r="F364" s="7">
        <v>0.10241820768136557</v>
      </c>
      <c r="G364" s="7">
        <v>0.4156746031746032</v>
      </c>
      <c r="H364" s="7">
        <v>6.6573277945063895E-4</v>
      </c>
      <c r="I364" s="7">
        <v>0.86842992830176369</v>
      </c>
      <c r="J364" s="7">
        <v>3.03383534535859E-2</v>
      </c>
      <c r="K364" s="8">
        <v>4.5999999999999999E-2</v>
      </c>
      <c r="L364" s="8">
        <v>7.7200000000000005E-2</v>
      </c>
      <c r="M364" s="8">
        <v>9.1000000000000004E-3</v>
      </c>
      <c r="N364" s="7">
        <v>3.1200000000000006E-2</v>
      </c>
      <c r="O364" s="7">
        <v>1.0199999999999987E-2</v>
      </c>
      <c r="P364" s="7">
        <v>2.9999999999999992E-4</v>
      </c>
      <c r="Q364" s="7">
        <v>6.7681895093061328E-3</v>
      </c>
      <c r="R364" s="7">
        <v>-1.2501999999999999E-2</v>
      </c>
      <c r="S364" s="7">
        <v>3.8E-3</v>
      </c>
    </row>
    <row r="365" spans="1:19" x14ac:dyDescent="0.3">
      <c r="A365" s="3">
        <v>197704</v>
      </c>
      <c r="B365" s="6">
        <f t="shared" si="10"/>
        <v>-3.1520035914469812E-3</v>
      </c>
      <c r="C365" s="4">
        <f t="shared" si="11"/>
        <v>-3.1589999999999999E-3</v>
      </c>
      <c r="D365" s="5">
        <v>4.3139678992279565E-2</v>
      </c>
      <c r="E365" s="5">
        <v>4.3148445437919118E-2</v>
      </c>
      <c r="F365" s="7">
        <v>0.10354835432750915</v>
      </c>
      <c r="G365" s="7">
        <v>0.41661385419834596</v>
      </c>
      <c r="H365" s="7">
        <v>9.8485112772272857E-4</v>
      </c>
      <c r="I365" s="7">
        <v>0.86115007012622724</v>
      </c>
      <c r="J365" s="7">
        <v>3.114002585223543E-2</v>
      </c>
      <c r="K365" s="8">
        <v>4.5400000000000003E-2</v>
      </c>
      <c r="L365" s="8">
        <v>7.7100000000000002E-2</v>
      </c>
      <c r="M365" s="8">
        <v>7.1000000000000004E-3</v>
      </c>
      <c r="N365" s="7">
        <v>3.1699999999999999E-2</v>
      </c>
      <c r="O365" s="7">
        <v>1.0300000000000017E-2</v>
      </c>
      <c r="P365" s="7">
        <v>2.8999999999999998E-3</v>
      </c>
      <c r="Q365" s="7">
        <v>8.4033613445377853E-3</v>
      </c>
      <c r="R365" s="7">
        <v>6.4099999999999997E-4</v>
      </c>
      <c r="S365" s="7">
        <v>3.8E-3</v>
      </c>
    </row>
    <row r="366" spans="1:19" x14ac:dyDescent="0.3">
      <c r="A366" s="3">
        <v>197705</v>
      </c>
      <c r="B366" s="6">
        <f t="shared" si="10"/>
        <v>-1.8871786377897097E-2</v>
      </c>
      <c r="C366" s="4">
        <f t="shared" si="11"/>
        <v>-1.8763999999999999E-2</v>
      </c>
      <c r="D366" s="5">
        <v>4.4770391177694546E-2</v>
      </c>
      <c r="E366" s="5">
        <v>4.3715258025193007E-2</v>
      </c>
      <c r="F366" s="7">
        <v>0.10722742405326674</v>
      </c>
      <c r="G366" s="7">
        <v>0.41752743361114614</v>
      </c>
      <c r="H366" s="7">
        <v>6.3480181499555102E-4</v>
      </c>
      <c r="I366" s="7">
        <v>0.88821133687935383</v>
      </c>
      <c r="J366" s="7">
        <v>3.5315466934223459E-2</v>
      </c>
      <c r="K366" s="8">
        <v>4.9599999999999998E-2</v>
      </c>
      <c r="L366" s="8">
        <v>7.6499999999999999E-2</v>
      </c>
      <c r="M366" s="8">
        <v>1.2500000000000001E-2</v>
      </c>
      <c r="N366" s="7">
        <v>2.69E-2</v>
      </c>
      <c r="O366" s="7">
        <v>9.5999999999999974E-3</v>
      </c>
      <c r="P366" s="7">
        <v>-1.9000000000000006E-3</v>
      </c>
      <c r="Q366" s="7">
        <v>4.9999999999998934E-3</v>
      </c>
      <c r="R366" s="7">
        <v>-1.5063999999999999E-2</v>
      </c>
      <c r="S366" s="7">
        <v>3.7000000000000002E-3</v>
      </c>
    </row>
    <row r="367" spans="1:19" x14ac:dyDescent="0.3">
      <c r="A367" s="3">
        <v>197706</v>
      </c>
      <c r="B367" s="6">
        <f t="shared" si="10"/>
        <v>4.2677801325550602E-2</v>
      </c>
      <c r="C367" s="4">
        <f t="shared" si="11"/>
        <v>4.3775999999999995E-2</v>
      </c>
      <c r="D367" s="5">
        <v>4.3391719745222934E-2</v>
      </c>
      <c r="E367" s="5">
        <v>4.5359966708281317E-2</v>
      </c>
      <c r="F367" s="7">
        <v>0.10370222929936306</v>
      </c>
      <c r="G367" s="7">
        <v>0.41842610364683303</v>
      </c>
      <c r="H367" s="7">
        <v>5.6336461313967533E-4</v>
      </c>
      <c r="I367" s="7">
        <v>0.87111208119611494</v>
      </c>
      <c r="J367" s="7">
        <v>3.1941096047936837E-2</v>
      </c>
      <c r="K367" s="8">
        <v>5.0199999999999995E-2</v>
      </c>
      <c r="L367" s="8">
        <v>7.5399999999999995E-2</v>
      </c>
      <c r="M367" s="8">
        <v>1.6400000000000001E-2</v>
      </c>
      <c r="N367" s="7">
        <v>2.52E-2</v>
      </c>
      <c r="O367" s="7">
        <v>9.5999999999999974E-3</v>
      </c>
      <c r="P367" s="7">
        <v>1.1000000000000003E-3</v>
      </c>
      <c r="Q367" s="7">
        <v>6.6334991708127955E-3</v>
      </c>
      <c r="R367" s="7">
        <v>4.7775999999999999E-2</v>
      </c>
      <c r="S367" s="7">
        <v>4.0000000000000001E-3</v>
      </c>
    </row>
    <row r="368" spans="1:19" x14ac:dyDescent="0.3">
      <c r="A368" s="3">
        <v>197707</v>
      </c>
      <c r="B368" s="6">
        <f t="shared" si="10"/>
        <v>-1.9764846691413325E-2</v>
      </c>
      <c r="C368" s="4">
        <f t="shared" si="11"/>
        <v>-1.9653E-2</v>
      </c>
      <c r="D368" s="5">
        <v>4.4579362670713205E-2</v>
      </c>
      <c r="E368" s="5">
        <v>4.38561902866242E-2</v>
      </c>
      <c r="F368" s="7">
        <v>0.10639049064238747</v>
      </c>
      <c r="G368" s="7">
        <v>0.41901642150104118</v>
      </c>
      <c r="H368" s="7">
        <v>5.9470800919931752E-4</v>
      </c>
      <c r="I368" s="7">
        <v>0.89678339905850102</v>
      </c>
      <c r="J368" s="7">
        <v>3.3181833354289314E-2</v>
      </c>
      <c r="K368" s="8">
        <v>5.1900000000000002E-2</v>
      </c>
      <c r="L368" s="8">
        <v>7.6799999999999993E-2</v>
      </c>
      <c r="M368" s="8">
        <v>-7.0000000000000001E-3</v>
      </c>
      <c r="N368" s="7">
        <v>2.4899999999999992E-2</v>
      </c>
      <c r="O368" s="7">
        <v>9.2999999999999888E-3</v>
      </c>
      <c r="P368" s="7">
        <v>6.5000000000000006E-3</v>
      </c>
      <c r="Q368" s="7">
        <v>4.9423393739702615E-3</v>
      </c>
      <c r="R368" s="7">
        <v>-1.5453E-2</v>
      </c>
      <c r="S368" s="7">
        <v>4.1999999999999997E-3</v>
      </c>
    </row>
    <row r="369" spans="1:19" x14ac:dyDescent="0.3">
      <c r="A369" s="3">
        <v>197708</v>
      </c>
      <c r="B369" s="6">
        <f t="shared" si="10"/>
        <v>-1.677674395234215E-2</v>
      </c>
      <c r="C369" s="4">
        <f t="shared" si="11"/>
        <v>-1.6709999999999999E-2</v>
      </c>
      <c r="D369" s="5">
        <v>4.6019737521959286E-2</v>
      </c>
      <c r="E369" s="5">
        <v>4.5051390996459287E-2</v>
      </c>
      <c r="F369" s="7">
        <v>0.10967551927250183</v>
      </c>
      <c r="G369" s="7">
        <v>0.41959899371543252</v>
      </c>
      <c r="H369" s="7">
        <v>5.8244638340062432E-4</v>
      </c>
      <c r="I369" s="7">
        <v>0.92653426040929088</v>
      </c>
      <c r="J369" s="7">
        <v>3.3750377772818169E-2</v>
      </c>
      <c r="K369" s="8">
        <v>5.4900000000000004E-2</v>
      </c>
      <c r="L369" s="8">
        <v>7.5399999999999995E-2</v>
      </c>
      <c r="M369" s="8">
        <v>1.9800000000000002E-2</v>
      </c>
      <c r="N369" s="7">
        <v>2.049999999999999E-2</v>
      </c>
      <c r="O369" s="7">
        <v>8.3999999999999908E-3</v>
      </c>
      <c r="P369" s="7">
        <v>-6.2000000000000024E-3</v>
      </c>
      <c r="Q369" s="7">
        <v>3.2786885245901232E-3</v>
      </c>
      <c r="R369" s="7">
        <v>-1.231E-2</v>
      </c>
      <c r="S369" s="7">
        <v>4.4000000000000003E-3</v>
      </c>
    </row>
    <row r="370" spans="1:19" x14ac:dyDescent="0.3">
      <c r="A370" s="3">
        <v>197709</v>
      </c>
      <c r="B370" s="6">
        <f t="shared" si="10"/>
        <v>-5.1161219169439743E-3</v>
      </c>
      <c r="C370" s="4">
        <f t="shared" si="11"/>
        <v>-5.1250000000000002E-3</v>
      </c>
      <c r="D370" s="5">
        <v>4.6617631824303327E-2</v>
      </c>
      <c r="E370" s="5">
        <v>4.650201508732045E-2</v>
      </c>
      <c r="F370" s="7">
        <v>0.11094996374184192</v>
      </c>
      <c r="G370" s="7">
        <v>0.42016806722689071</v>
      </c>
      <c r="H370" s="7">
        <v>4.6319607229349321E-4</v>
      </c>
      <c r="I370" s="7">
        <v>0.94226251608409772</v>
      </c>
      <c r="J370" s="7">
        <v>3.2367569874148218E-2</v>
      </c>
      <c r="K370" s="8">
        <v>5.8099999999999999E-2</v>
      </c>
      <c r="L370" s="8">
        <v>7.6399999999999996E-2</v>
      </c>
      <c r="M370" s="8">
        <v>-2.8999999999999998E-3</v>
      </c>
      <c r="N370" s="7">
        <v>1.8299999999999997E-2</v>
      </c>
      <c r="O370" s="7">
        <v>8.8000000000000161E-3</v>
      </c>
      <c r="P370" s="7">
        <v>6.9999999999999967E-4</v>
      </c>
      <c r="Q370" s="7">
        <v>3.2679738562091387E-3</v>
      </c>
      <c r="R370" s="7">
        <v>-8.25E-4</v>
      </c>
      <c r="S370" s="7">
        <v>4.3E-3</v>
      </c>
    </row>
    <row r="371" spans="1:19" x14ac:dyDescent="0.3">
      <c r="A371" s="3">
        <v>197710</v>
      </c>
      <c r="B371" s="6">
        <f t="shared" si="10"/>
        <v>-4.7778833762142384E-2</v>
      </c>
      <c r="C371" s="4">
        <f t="shared" si="11"/>
        <v>-4.6884000000000002E-2</v>
      </c>
      <c r="D371" s="5">
        <v>4.9346653671215081E-2</v>
      </c>
      <c r="E371" s="5">
        <v>4.7204703201077391E-2</v>
      </c>
      <c r="F371" s="7">
        <v>0.1166341780376868</v>
      </c>
      <c r="G371" s="7">
        <v>0.42308913649025076</v>
      </c>
      <c r="H371" s="7">
        <v>7.2617263306666482E-4</v>
      </c>
      <c r="I371" s="7">
        <v>0.97537728355837972</v>
      </c>
      <c r="J371" s="7">
        <v>3.277408527623641E-2</v>
      </c>
      <c r="K371" s="8">
        <v>6.1600000000000002E-2</v>
      </c>
      <c r="L371" s="8">
        <v>7.8100000000000003E-2</v>
      </c>
      <c r="M371" s="8">
        <v>-9.2999999999999992E-3</v>
      </c>
      <c r="N371" s="7">
        <v>1.6500000000000001E-2</v>
      </c>
      <c r="O371" s="7">
        <v>8.5000000000000214E-3</v>
      </c>
      <c r="P371" s="7">
        <v>5.4999999999999997E-3</v>
      </c>
      <c r="Q371" s="7">
        <v>3.2573289902280145E-3</v>
      </c>
      <c r="R371" s="7">
        <v>-4.1984E-2</v>
      </c>
      <c r="S371" s="7">
        <v>4.8999999999999998E-3</v>
      </c>
    </row>
    <row r="372" spans="1:19" x14ac:dyDescent="0.3">
      <c r="A372" s="3">
        <v>197711</v>
      </c>
      <c r="B372" s="6">
        <f t="shared" si="10"/>
        <v>3.1105207736831231E-2</v>
      </c>
      <c r="C372" s="4">
        <f t="shared" si="11"/>
        <v>3.1752000000000002E-2</v>
      </c>
      <c r="D372" s="5">
        <v>4.8648423494674686E-2</v>
      </c>
      <c r="E372" s="5">
        <v>4.9960255577214646E-2</v>
      </c>
      <c r="F372" s="7">
        <v>0.11420436570705474</v>
      </c>
      <c r="G372" s="7">
        <v>0.42597691597414594</v>
      </c>
      <c r="H372" s="7">
        <v>1.3875470420950749E-3</v>
      </c>
      <c r="I372" s="7">
        <v>0.9620344702904664</v>
      </c>
      <c r="J372" s="7">
        <v>2.9215719685605525E-2</v>
      </c>
      <c r="K372" s="8">
        <v>6.0999999999999999E-2</v>
      </c>
      <c r="L372" s="8">
        <v>7.7700000000000005E-2</v>
      </c>
      <c r="M372" s="8">
        <v>9.2999999999999992E-3</v>
      </c>
      <c r="N372" s="7">
        <v>1.6700000000000007E-2</v>
      </c>
      <c r="O372" s="7">
        <v>8.6999999999999994E-3</v>
      </c>
      <c r="P372" s="7">
        <v>-3.1999999999999989E-3</v>
      </c>
      <c r="Q372" s="7">
        <v>4.8701298701299134E-3</v>
      </c>
      <c r="R372" s="7">
        <v>3.6752E-2</v>
      </c>
      <c r="S372" s="7">
        <v>5.0000000000000001E-3</v>
      </c>
    </row>
    <row r="373" spans="1:19" x14ac:dyDescent="0.3">
      <c r="A373" s="3">
        <v>197712</v>
      </c>
      <c r="B373" s="6">
        <f t="shared" si="10"/>
        <v>6.6651084055309104E-4</v>
      </c>
      <c r="C373" s="4">
        <f t="shared" si="11"/>
        <v>6.7000000000000046E-4</v>
      </c>
      <c r="D373" s="5">
        <v>4.9106203995793907E-2</v>
      </c>
      <c r="E373" s="5">
        <v>4.9246019192238741E-2</v>
      </c>
      <c r="F373" s="7">
        <v>0.11451104100946373</v>
      </c>
      <c r="G373" s="7">
        <v>0.42883379247015607</v>
      </c>
      <c r="H373" s="7">
        <v>6.2662708655096219E-4</v>
      </c>
      <c r="I373" s="7">
        <v>0.96033302453168434</v>
      </c>
      <c r="J373" s="7">
        <v>3.0474396412762304E-2</v>
      </c>
      <c r="K373" s="8">
        <v>6.0700000000000004E-2</v>
      </c>
      <c r="L373" s="8">
        <v>8.0299999999999996E-2</v>
      </c>
      <c r="M373" s="8">
        <v>-1.6799999999999999E-2</v>
      </c>
      <c r="N373" s="7">
        <v>1.9599999999999992E-2</v>
      </c>
      <c r="O373" s="7">
        <v>8.0000000000000071E-3</v>
      </c>
      <c r="P373" s="7">
        <v>6.2999999999999983E-3</v>
      </c>
      <c r="Q373" s="7">
        <v>3.231017770597866E-3</v>
      </c>
      <c r="R373" s="7">
        <v>5.5700000000000003E-3</v>
      </c>
      <c r="S373" s="7">
        <v>4.8999999999999998E-3</v>
      </c>
    </row>
    <row r="374" spans="1:19" x14ac:dyDescent="0.3">
      <c r="A374" s="3">
        <v>197801</v>
      </c>
      <c r="B374" s="6">
        <f t="shared" si="10"/>
        <v>-6.7447714407907963E-2</v>
      </c>
      <c r="C374" s="4">
        <f t="shared" si="11"/>
        <v>-6.5543000000000004E-2</v>
      </c>
      <c r="D374" s="5">
        <v>5.2810420168067231E-2</v>
      </c>
      <c r="E374" s="5">
        <v>4.9561829652996846E-2</v>
      </c>
      <c r="F374" s="7">
        <v>0.12212885154061626</v>
      </c>
      <c r="G374" s="7">
        <v>0.43241559633027521</v>
      </c>
      <c r="H374" s="7">
        <v>9.0805008651667044E-4</v>
      </c>
      <c r="I374" s="7">
        <v>1.036731088944306</v>
      </c>
      <c r="J374" s="7">
        <v>2.8813183462555476E-2</v>
      </c>
      <c r="K374" s="8">
        <v>6.4399999999999999E-2</v>
      </c>
      <c r="L374" s="8">
        <v>8.1600000000000006E-2</v>
      </c>
      <c r="M374" s="8">
        <v>-8.0000000000000002E-3</v>
      </c>
      <c r="N374" s="7">
        <v>1.7200000000000007E-2</v>
      </c>
      <c r="O374" s="7">
        <v>7.5999999999999956E-3</v>
      </c>
      <c r="P374" s="7">
        <v>-8.9999999999999976E-4</v>
      </c>
      <c r="Q374" s="7">
        <v>6.441223832528209E-3</v>
      </c>
      <c r="R374" s="7">
        <v>-6.0643000000000002E-2</v>
      </c>
      <c r="S374" s="7">
        <v>4.8999999999999998E-3</v>
      </c>
    </row>
    <row r="375" spans="1:19" x14ac:dyDescent="0.3">
      <c r="A375" s="3">
        <v>197802</v>
      </c>
      <c r="B375" s="6">
        <f t="shared" si="10"/>
        <v>-2.0983096820241146E-2</v>
      </c>
      <c r="C375" s="4">
        <f t="shared" si="11"/>
        <v>-2.086E-2</v>
      </c>
      <c r="D375" s="5">
        <v>5.4649241727941167E-2</v>
      </c>
      <c r="E375" s="5">
        <v>5.3296022408963584E-2</v>
      </c>
      <c r="F375" s="7">
        <v>0.12534466911764705</v>
      </c>
      <c r="G375" s="7">
        <v>0.43599175068744267</v>
      </c>
      <c r="H375" s="7">
        <v>6.6989477618759779E-4</v>
      </c>
      <c r="I375" s="7">
        <v>1.0755672936991323</v>
      </c>
      <c r="J375" s="7">
        <v>3.1167903454006954E-2</v>
      </c>
      <c r="K375" s="8">
        <v>6.4500000000000002E-2</v>
      </c>
      <c r="L375" s="8">
        <v>8.2199999999999995E-2</v>
      </c>
      <c r="M375" s="8">
        <v>4.0000000000000002E-4</v>
      </c>
      <c r="N375" s="7">
        <v>1.7699999999999994E-2</v>
      </c>
      <c r="O375" s="7">
        <v>7.2999999999999871E-3</v>
      </c>
      <c r="P375" s="7">
        <v>4.7000000000000002E-3</v>
      </c>
      <c r="Q375" s="7">
        <v>6.3999999999999613E-3</v>
      </c>
      <c r="R375" s="7">
        <v>-1.626E-2</v>
      </c>
      <c r="S375" s="7">
        <v>4.5999999999999999E-3</v>
      </c>
    </row>
    <row r="376" spans="1:19" x14ac:dyDescent="0.3">
      <c r="A376" s="3">
        <v>197803</v>
      </c>
      <c r="B376" s="6">
        <f t="shared" si="10"/>
        <v>2.1282895612907055E-2</v>
      </c>
      <c r="C376" s="4">
        <f t="shared" si="11"/>
        <v>2.1625000000000002E-2</v>
      </c>
      <c r="D376" s="5">
        <v>5.3805627171841723E-2</v>
      </c>
      <c r="E376" s="5">
        <v>5.5147058823529403E-2</v>
      </c>
      <c r="F376" s="7">
        <v>0.12240780181593992</v>
      </c>
      <c r="G376" s="7">
        <v>0.43956043956043955</v>
      </c>
      <c r="H376" s="7">
        <v>6.2285682151179043E-4</v>
      </c>
      <c r="I376" s="7">
        <v>1.1114925530791169</v>
      </c>
      <c r="J376" s="7">
        <v>2.7568545069282704E-2</v>
      </c>
      <c r="K376" s="8">
        <v>6.2899999999999998E-2</v>
      </c>
      <c r="L376" s="8">
        <v>8.3099999999999993E-2</v>
      </c>
      <c r="M376" s="8">
        <v>-2.0999999999999999E-3</v>
      </c>
      <c r="N376" s="7">
        <v>2.0199999999999996E-2</v>
      </c>
      <c r="O376" s="7">
        <v>7.4999999999999928E-3</v>
      </c>
      <c r="P376" s="7">
        <v>6.3E-3</v>
      </c>
      <c r="Q376" s="7">
        <v>7.9491255961843255E-3</v>
      </c>
      <c r="R376" s="7">
        <v>2.6925000000000001E-2</v>
      </c>
      <c r="S376" s="7">
        <v>5.3E-3</v>
      </c>
    </row>
    <row r="377" spans="1:19" x14ac:dyDescent="0.3">
      <c r="A377" s="3">
        <v>197804</v>
      </c>
      <c r="B377" s="6">
        <f t="shared" si="10"/>
        <v>7.9841313276823103E-2</v>
      </c>
      <c r="C377" s="4">
        <f t="shared" si="11"/>
        <v>8.3563999999999999E-2</v>
      </c>
      <c r="D377" s="5">
        <v>4.9950118764845605E-2</v>
      </c>
      <c r="E377" s="5">
        <v>5.421667974442327E-2</v>
      </c>
      <c r="F377" s="7">
        <v>0.11384178457089746</v>
      </c>
      <c r="G377" s="7">
        <v>0.43876788257599808</v>
      </c>
      <c r="H377" s="7">
        <v>1.741180958073391E-3</v>
      </c>
      <c r="I377" s="7">
        <v>1.0053504036688481</v>
      </c>
      <c r="J377" s="7">
        <v>2.294501473509904E-2</v>
      </c>
      <c r="K377" s="8">
        <v>6.2899999999999998E-2</v>
      </c>
      <c r="L377" s="8">
        <v>8.3799999999999999E-2</v>
      </c>
      <c r="M377" s="8">
        <v>-5.0000000000000001E-4</v>
      </c>
      <c r="N377" s="7">
        <v>2.0900000000000002E-2</v>
      </c>
      <c r="O377" s="7">
        <v>7.5999999999999956E-3</v>
      </c>
      <c r="P377" s="7">
        <v>-1.8E-3</v>
      </c>
      <c r="Q377" s="7">
        <v>7.8864353312302349E-3</v>
      </c>
      <c r="R377" s="7">
        <v>8.8964000000000001E-2</v>
      </c>
      <c r="S377" s="7">
        <v>5.4000000000000003E-3</v>
      </c>
    </row>
    <row r="378" spans="1:19" x14ac:dyDescent="0.3">
      <c r="A378" s="3">
        <v>197805</v>
      </c>
      <c r="B378" s="6">
        <f t="shared" si="10"/>
        <v>8.5387073999223864E-3</v>
      </c>
      <c r="C378" s="4">
        <f t="shared" si="11"/>
        <v>8.6189999999999999E-3</v>
      </c>
      <c r="D378" s="5">
        <v>5.0116515837104074E-2</v>
      </c>
      <c r="E378" s="5">
        <v>5.0328720437880822E-2</v>
      </c>
      <c r="F378" s="7">
        <v>0.11442513368983957</v>
      </c>
      <c r="G378" s="7">
        <v>0.43798520675492286</v>
      </c>
      <c r="H378" s="7">
        <v>1.0850552422716744E-3</v>
      </c>
      <c r="I378" s="7">
        <v>1.0014156386433661</v>
      </c>
      <c r="J378" s="7">
        <v>1.6558494397015615E-2</v>
      </c>
      <c r="K378" s="8">
        <v>6.4100000000000004E-2</v>
      </c>
      <c r="L378" s="8">
        <v>8.5199999999999998E-2</v>
      </c>
      <c r="M378" s="8">
        <v>-5.7999999999999996E-3</v>
      </c>
      <c r="N378" s="7">
        <v>2.1099999999999994E-2</v>
      </c>
      <c r="O378" s="7">
        <v>8.0000000000000071E-3</v>
      </c>
      <c r="P378" s="7">
        <v>-5.000000000000001E-3</v>
      </c>
      <c r="Q378" s="7">
        <v>9.3896713615022609E-3</v>
      </c>
      <c r="R378" s="7">
        <v>1.3719E-2</v>
      </c>
      <c r="S378" s="7">
        <v>5.1000000000000004E-3</v>
      </c>
    </row>
    <row r="379" spans="1:19" x14ac:dyDescent="0.3">
      <c r="A379" s="3">
        <v>197806</v>
      </c>
      <c r="B379" s="6">
        <f t="shared" si="10"/>
        <v>-2.2102425166217923E-2</v>
      </c>
      <c r="C379" s="4">
        <f t="shared" si="11"/>
        <v>-2.1977999999999998E-2</v>
      </c>
      <c r="D379" s="5">
        <v>5.1397466764367218E-2</v>
      </c>
      <c r="E379" s="5">
        <v>5.0493624023035789E-2</v>
      </c>
      <c r="F379" s="7">
        <v>0.11755469486025333</v>
      </c>
      <c r="G379" s="7">
        <v>0.43722172751558325</v>
      </c>
      <c r="H379" s="7">
        <v>1.0274141007501822E-3</v>
      </c>
      <c r="I379" s="7">
        <v>1.0279015812931191</v>
      </c>
      <c r="J379" s="7">
        <v>1.6522488119996164E-2</v>
      </c>
      <c r="K379" s="8">
        <v>6.7299999999999999E-2</v>
      </c>
      <c r="L379" s="8">
        <v>8.6499999999999994E-2</v>
      </c>
      <c r="M379" s="8">
        <v>-6.1999999999999998E-3</v>
      </c>
      <c r="N379" s="7">
        <v>1.9199999999999995E-2</v>
      </c>
      <c r="O379" s="7">
        <v>8.4000000000000047E-3</v>
      </c>
      <c r="P379" s="7">
        <v>8.5000000000000006E-3</v>
      </c>
      <c r="Q379" s="7">
        <v>1.0852713178294726E-2</v>
      </c>
      <c r="R379" s="7">
        <v>-1.6577999999999999E-2</v>
      </c>
      <c r="S379" s="7">
        <v>5.4000000000000003E-3</v>
      </c>
    </row>
    <row r="380" spans="1:19" x14ac:dyDescent="0.3">
      <c r="A380" s="3">
        <v>197807</v>
      </c>
      <c r="B380" s="6">
        <f t="shared" si="10"/>
        <v>4.9825730373028579E-2</v>
      </c>
      <c r="C380" s="4">
        <f t="shared" si="11"/>
        <v>5.1373999999999996E-2</v>
      </c>
      <c r="D380" s="5">
        <v>4.9132598331346838E-2</v>
      </c>
      <c r="E380" s="5">
        <v>5.1781325238145083E-2</v>
      </c>
      <c r="F380" s="7">
        <v>0.1126668653158522</v>
      </c>
      <c r="G380" s="7">
        <v>0.43608738197878927</v>
      </c>
      <c r="H380" s="7">
        <v>8.4992964683782942E-4</v>
      </c>
      <c r="I380" s="7">
        <v>0.97626033608962381</v>
      </c>
      <c r="J380" s="7">
        <v>1.4670488758051981E-2</v>
      </c>
      <c r="K380" s="8">
        <v>7.0099999999999996E-2</v>
      </c>
      <c r="L380" s="8">
        <v>8.5800000000000001E-2</v>
      </c>
      <c r="M380" s="8">
        <v>1.43E-2</v>
      </c>
      <c r="N380" s="7">
        <v>1.5700000000000006E-2</v>
      </c>
      <c r="O380" s="7">
        <v>7.1999999999999981E-3</v>
      </c>
      <c r="P380" s="7">
        <v>-4.2000000000000006E-3</v>
      </c>
      <c r="Q380" s="7">
        <v>7.6687116564417845E-3</v>
      </c>
      <c r="R380" s="7">
        <v>5.6973999999999997E-2</v>
      </c>
      <c r="S380" s="7">
        <v>5.6000000000000008E-3</v>
      </c>
    </row>
    <row r="381" spans="1:19" x14ac:dyDescent="0.3">
      <c r="A381" s="3">
        <v>197808</v>
      </c>
      <c r="B381" s="6">
        <f t="shared" si="10"/>
        <v>2.7503142148240373E-2</v>
      </c>
      <c r="C381" s="4">
        <f t="shared" si="11"/>
        <v>2.8040999999999996E-2</v>
      </c>
      <c r="D381" s="5">
        <v>4.8246006389776351E-2</v>
      </c>
      <c r="E381" s="5">
        <v>4.9496722288438613E-2</v>
      </c>
      <c r="F381" s="7">
        <v>0.11091780424048793</v>
      </c>
      <c r="G381" s="7">
        <v>0.43497080311084341</v>
      </c>
      <c r="H381" s="7">
        <v>1.0022376926429601E-3</v>
      </c>
      <c r="I381" s="7">
        <v>0.96006021760452531</v>
      </c>
      <c r="J381" s="7">
        <v>1.2001808848775433E-2</v>
      </c>
      <c r="K381" s="8">
        <v>7.0800000000000002E-2</v>
      </c>
      <c r="L381" s="8">
        <v>8.43E-2</v>
      </c>
      <c r="M381" s="8">
        <v>2.18E-2</v>
      </c>
      <c r="N381" s="7">
        <v>1.3499999999999998E-2</v>
      </c>
      <c r="O381" s="7">
        <v>7.9000000000000181E-3</v>
      </c>
      <c r="P381" s="7">
        <v>3.9000000000000007E-3</v>
      </c>
      <c r="Q381" s="7">
        <v>4.5662100456620447E-3</v>
      </c>
      <c r="R381" s="7">
        <v>3.3640999999999997E-2</v>
      </c>
      <c r="S381" s="7">
        <v>5.6000000000000008E-3</v>
      </c>
    </row>
    <row r="382" spans="1:19" x14ac:dyDescent="0.3">
      <c r="A382" s="3">
        <v>197809</v>
      </c>
      <c r="B382" s="6">
        <f t="shared" si="10"/>
        <v>-1.1357233413916453E-2</v>
      </c>
      <c r="C382" s="4">
        <f t="shared" si="11"/>
        <v>-1.1363E-2</v>
      </c>
      <c r="D382" s="5">
        <v>4.895650477862297E-2</v>
      </c>
      <c r="E382" s="5">
        <v>4.8601026236808981E-2</v>
      </c>
      <c r="F382" s="7">
        <v>0.11283401599375853</v>
      </c>
      <c r="G382" s="7">
        <v>0.43388072601555744</v>
      </c>
      <c r="H382" s="7">
        <v>9.4797720512394541E-4</v>
      </c>
      <c r="I382" s="7">
        <v>0.97225751310896014</v>
      </c>
      <c r="J382" s="7">
        <v>1.2703001749812993E-2</v>
      </c>
      <c r="K382" s="8">
        <v>7.85E-2</v>
      </c>
      <c r="L382" s="8">
        <v>8.5999999999999993E-2</v>
      </c>
      <c r="M382" s="8">
        <v>-1.06E-2</v>
      </c>
      <c r="N382" s="7">
        <v>7.4999999999999928E-3</v>
      </c>
      <c r="O382" s="7">
        <v>7.3000000000000148E-3</v>
      </c>
      <c r="P382" s="7">
        <v>5.8000000000000005E-3</v>
      </c>
      <c r="Q382" s="7">
        <v>7.575757575757569E-3</v>
      </c>
      <c r="R382" s="7">
        <v>-5.1630000000000001E-3</v>
      </c>
      <c r="S382" s="7">
        <v>6.1999999999999998E-3</v>
      </c>
    </row>
    <row r="383" spans="1:19" x14ac:dyDescent="0.3">
      <c r="A383" s="3">
        <v>197810</v>
      </c>
      <c r="B383" s="6">
        <f t="shared" si="10"/>
        <v>-0.10061524788368717</v>
      </c>
      <c r="C383" s="4">
        <f t="shared" si="11"/>
        <v>-9.6369999999999997E-2</v>
      </c>
      <c r="D383" s="5">
        <v>5.4070531400966182E-2</v>
      </c>
      <c r="E383" s="5">
        <v>4.9119075482738438E-2</v>
      </c>
      <c r="F383" s="7">
        <v>0.12692753623188405</v>
      </c>
      <c r="G383" s="7">
        <v>0.42599528050544266</v>
      </c>
      <c r="H383" s="7">
        <v>2.1000234124052704E-3</v>
      </c>
      <c r="I383" s="7">
        <v>1.0622752224115084</v>
      </c>
      <c r="J383" s="7">
        <v>1.4350552361927242E-2</v>
      </c>
      <c r="K383" s="8">
        <v>7.9899999999999999E-2</v>
      </c>
      <c r="L383" s="8">
        <v>8.8900000000000007E-2</v>
      </c>
      <c r="M383" s="8">
        <v>-0.02</v>
      </c>
      <c r="N383" s="7">
        <v>9.000000000000008E-3</v>
      </c>
      <c r="O383" s="7">
        <v>6.9999999999999923E-3</v>
      </c>
      <c r="P383" s="7">
        <v>-5.0000000000000044E-4</v>
      </c>
      <c r="Q383" s="7">
        <v>9.0225563909773765E-3</v>
      </c>
      <c r="R383" s="7">
        <v>-8.9569999999999997E-2</v>
      </c>
      <c r="S383" s="7">
        <v>6.8000000000000005E-3</v>
      </c>
    </row>
    <row r="384" spans="1:19" x14ac:dyDescent="0.3">
      <c r="A384" s="3">
        <v>197811</v>
      </c>
      <c r="B384" s="6">
        <f t="shared" si="10"/>
        <v>1.9443312794266213E-2</v>
      </c>
      <c r="C384" s="4">
        <f t="shared" si="11"/>
        <v>1.9771E-2</v>
      </c>
      <c r="D384" s="5">
        <v>5.3361457233368527E-2</v>
      </c>
      <c r="E384" s="5">
        <v>5.4249382716049378E-2</v>
      </c>
      <c r="F384" s="7">
        <v>0.1275258711721225</v>
      </c>
      <c r="G384" s="7">
        <v>0.41843632780478107</v>
      </c>
      <c r="H384" s="7">
        <v>3.1808889741074251E-3</v>
      </c>
      <c r="I384" s="7">
        <v>1.0535274019748946</v>
      </c>
      <c r="J384" s="7">
        <v>1.4089272170543942E-2</v>
      </c>
      <c r="K384" s="8">
        <v>8.6400000000000005E-2</v>
      </c>
      <c r="L384" s="8">
        <v>8.77E-2</v>
      </c>
      <c r="M384" s="8">
        <v>1.89E-2</v>
      </c>
      <c r="N384" s="7">
        <v>1.2999999999999956E-3</v>
      </c>
      <c r="O384" s="7">
        <v>8.0000000000000071E-3</v>
      </c>
      <c r="P384" s="7">
        <v>-5.4999999999999997E-3</v>
      </c>
      <c r="Q384" s="7">
        <v>4.4709388971686526E-3</v>
      </c>
      <c r="R384" s="7">
        <v>2.6771E-2</v>
      </c>
      <c r="S384" s="7">
        <v>6.9999999999999993E-3</v>
      </c>
    </row>
    <row r="385" spans="1:19" x14ac:dyDescent="0.3">
      <c r="A385" s="3">
        <v>197812</v>
      </c>
      <c r="B385" s="6">
        <f t="shared" si="10"/>
        <v>8.7195638868285668E-3</v>
      </c>
      <c r="C385" s="4">
        <f t="shared" si="11"/>
        <v>8.825999999999997E-3</v>
      </c>
      <c r="D385" s="5">
        <v>5.2752054937051297E-2</v>
      </c>
      <c r="E385" s="5">
        <v>5.353748680042239E-2</v>
      </c>
      <c r="F385" s="7">
        <v>0.1282905004682135</v>
      </c>
      <c r="G385" s="7">
        <v>0.41119221411192214</v>
      </c>
      <c r="H385" s="7">
        <v>1.6656300128238522E-3</v>
      </c>
      <c r="I385" s="7">
        <v>1.0457012956360789</v>
      </c>
      <c r="J385" s="7">
        <v>1.4850552202063072E-2</v>
      </c>
      <c r="K385" s="8">
        <v>9.0800000000000006E-2</v>
      </c>
      <c r="L385" s="8">
        <v>8.9800000000000005E-2</v>
      </c>
      <c r="M385" s="8">
        <v>-1.2999999999999999E-2</v>
      </c>
      <c r="N385" s="7">
        <v>-1.0000000000000009E-3</v>
      </c>
      <c r="O385" s="7">
        <v>7.7999999999999875E-3</v>
      </c>
      <c r="P385" s="7">
        <v>-2.9999999999999992E-4</v>
      </c>
      <c r="Q385" s="7">
        <v>4.4510385756675319E-3</v>
      </c>
      <c r="R385" s="7">
        <v>1.6625999999999998E-2</v>
      </c>
      <c r="S385" s="7">
        <v>7.8000000000000005E-3</v>
      </c>
    </row>
    <row r="386" spans="1:19" x14ac:dyDescent="0.3">
      <c r="A386" s="3">
        <v>197901</v>
      </c>
      <c r="B386" s="6">
        <f t="shared" si="10"/>
        <v>3.4140119359180349E-2</v>
      </c>
      <c r="C386" s="4">
        <f t="shared" si="11"/>
        <v>3.4997E-2</v>
      </c>
      <c r="D386" s="5">
        <v>5.1169118382868008E-2</v>
      </c>
      <c r="E386" s="5">
        <v>5.3202892518988666E-2</v>
      </c>
      <c r="F386" s="7">
        <v>0.1266216351446012</v>
      </c>
      <c r="G386" s="7">
        <v>0.40411039017489514</v>
      </c>
      <c r="H386" s="7">
        <v>1.0011132141421596E-3</v>
      </c>
      <c r="I386" s="7">
        <v>1.0030742832630299</v>
      </c>
      <c r="J386" s="7">
        <v>1.4387532480625067E-2</v>
      </c>
      <c r="K386" s="8">
        <v>9.35E-2</v>
      </c>
      <c r="L386" s="8">
        <v>8.8599999999999998E-2</v>
      </c>
      <c r="M386" s="8">
        <v>1.9099999999999999E-2</v>
      </c>
      <c r="N386" s="7">
        <v>-4.9000000000000016E-3</v>
      </c>
      <c r="O386" s="7">
        <v>8.8000000000000023E-3</v>
      </c>
      <c r="P386" s="7">
        <v>-6.9999999999999923E-4</v>
      </c>
      <c r="Q386" s="7">
        <v>8.8626292466764678E-3</v>
      </c>
      <c r="R386" s="7">
        <v>4.2696999999999999E-2</v>
      </c>
      <c r="S386" s="7">
        <v>7.7000000000000002E-3</v>
      </c>
    </row>
    <row r="387" spans="1:19" x14ac:dyDescent="0.3">
      <c r="A387" s="3">
        <v>197902</v>
      </c>
      <c r="B387" s="6">
        <f t="shared" ref="B387:B450" si="12">LN(R387+1) - LN(S387+1)</f>
        <v>-3.6340876969343114E-2</v>
      </c>
      <c r="C387" s="4">
        <f t="shared" ref="C387:C450" si="13">R387 - S387</f>
        <v>-3.5949000000000002E-2</v>
      </c>
      <c r="D387" s="5">
        <v>5.3559098462816784E-2</v>
      </c>
      <c r="E387" s="5">
        <v>5.1602821975382768E-2</v>
      </c>
      <c r="F387" s="7">
        <v>0.1347808475280432</v>
      </c>
      <c r="G387" s="7">
        <v>0.39737914878204783</v>
      </c>
      <c r="H387" s="7">
        <v>8.1408085828721182E-4</v>
      </c>
      <c r="I387" s="7">
        <v>1.0407754506565119</v>
      </c>
      <c r="J387" s="7">
        <v>1.2227710150527827E-2</v>
      </c>
      <c r="K387" s="8">
        <v>9.3200000000000005E-2</v>
      </c>
      <c r="L387" s="8">
        <v>9.0800000000000006E-2</v>
      </c>
      <c r="M387" s="8">
        <v>-1.35E-2</v>
      </c>
      <c r="N387" s="7">
        <v>-2.3999999999999994E-3</v>
      </c>
      <c r="O387" s="7">
        <v>8.199999999999999E-3</v>
      </c>
      <c r="P387" s="7">
        <v>6.9999999999999923E-4</v>
      </c>
      <c r="Q387" s="7">
        <v>1.171303074670571E-2</v>
      </c>
      <c r="R387" s="7">
        <v>-2.8649000000000001E-2</v>
      </c>
      <c r="S387" s="7">
        <v>7.3000000000000001E-3</v>
      </c>
    </row>
    <row r="388" spans="1:19" x14ac:dyDescent="0.3">
      <c r="A388" s="3">
        <v>197903</v>
      </c>
      <c r="B388" s="6">
        <f t="shared" si="12"/>
        <v>4.7708810140891636E-2</v>
      </c>
      <c r="C388" s="4">
        <f t="shared" si="13"/>
        <v>4.9260999999999999E-2</v>
      </c>
      <c r="D388" s="5">
        <v>5.118614036814647E-2</v>
      </c>
      <c r="E388" s="5">
        <v>5.4009140008309101E-2</v>
      </c>
      <c r="F388" s="7">
        <v>0.13091839748006695</v>
      </c>
      <c r="G388" s="7">
        <v>0.39097744360902253</v>
      </c>
      <c r="H388" s="7">
        <v>8.0073316109250607E-4</v>
      </c>
      <c r="I388" s="7">
        <v>1.0330789394326012</v>
      </c>
      <c r="J388" s="7">
        <v>1.1670307720664932E-2</v>
      </c>
      <c r="K388" s="8">
        <v>9.4800000000000009E-2</v>
      </c>
      <c r="L388" s="8">
        <v>9.0200000000000002E-2</v>
      </c>
      <c r="M388" s="8">
        <v>1.29E-2</v>
      </c>
      <c r="N388" s="7">
        <v>-4.6000000000000069E-3</v>
      </c>
      <c r="O388" s="7">
        <v>8.9000000000000051E-3</v>
      </c>
      <c r="P388" s="7">
        <v>-2.3E-3</v>
      </c>
      <c r="Q388" s="7">
        <v>1.013024602026058E-2</v>
      </c>
      <c r="R388" s="7">
        <v>5.7361000000000002E-2</v>
      </c>
      <c r="S388" s="7">
        <v>8.1000000000000013E-3</v>
      </c>
    </row>
    <row r="389" spans="1:19" x14ac:dyDescent="0.3">
      <c r="A389" s="3">
        <v>197904</v>
      </c>
      <c r="B389" s="6">
        <f t="shared" si="12"/>
        <v>-3.7938940726299558E-3</v>
      </c>
      <c r="C389" s="4">
        <f t="shared" si="13"/>
        <v>-3.8170000000000001E-3</v>
      </c>
      <c r="D389" s="5">
        <v>5.1559257075471696E-2</v>
      </c>
      <c r="E389" s="5">
        <v>5.1645535977950581E-2</v>
      </c>
      <c r="F389" s="7">
        <v>0.13292747641509434</v>
      </c>
      <c r="G389" s="7">
        <v>0.38787509148572824</v>
      </c>
      <c r="H389" s="7">
        <v>6.4683518806409675E-4</v>
      </c>
      <c r="I389" s="7">
        <v>1.0418762428354194</v>
      </c>
      <c r="J389" s="7">
        <v>1.1570313837190866E-2</v>
      </c>
      <c r="K389" s="8">
        <v>9.4600000000000004E-2</v>
      </c>
      <c r="L389" s="8">
        <v>9.2200000000000004E-2</v>
      </c>
      <c r="M389" s="8">
        <v>-1.12E-2</v>
      </c>
      <c r="N389" s="7">
        <v>-2.3999999999999994E-3</v>
      </c>
      <c r="O389" s="7">
        <v>9.4999999999999946E-3</v>
      </c>
      <c r="P389" s="7">
        <v>6.0000000000000001E-3</v>
      </c>
      <c r="Q389" s="7">
        <v>1.1461318051575908E-2</v>
      </c>
      <c r="R389" s="7">
        <v>4.1830000000000001E-3</v>
      </c>
      <c r="S389" s="7">
        <v>8.0000000000000002E-3</v>
      </c>
    </row>
    <row r="390" spans="1:19" x14ac:dyDescent="0.3">
      <c r="A390" s="3">
        <v>197905</v>
      </c>
      <c r="B390" s="6">
        <f t="shared" si="12"/>
        <v>-2.5127591131418686E-2</v>
      </c>
      <c r="C390" s="4">
        <f t="shared" si="13"/>
        <v>-2.5017999999999999E-2</v>
      </c>
      <c r="D390" s="5">
        <v>5.3424808235769075E-2</v>
      </c>
      <c r="E390" s="5">
        <v>5.2017786949685535E-2</v>
      </c>
      <c r="F390" s="7">
        <v>0.13881005248284214</v>
      </c>
      <c r="G390" s="7">
        <v>0.3848770840452837</v>
      </c>
      <c r="H390" s="7">
        <v>9.2422704331312328E-4</v>
      </c>
      <c r="I390" s="7">
        <v>1.0831418043851009</v>
      </c>
      <c r="J390" s="7">
        <v>1.4184181597061129E-2</v>
      </c>
      <c r="K390" s="8">
        <v>9.6099999999999991E-2</v>
      </c>
      <c r="L390" s="8">
        <v>9.0300000000000005E-2</v>
      </c>
      <c r="M390" s="8">
        <v>2.6100000000000002E-2</v>
      </c>
      <c r="N390" s="7">
        <v>-5.7999999999999857E-3</v>
      </c>
      <c r="O390" s="7">
        <v>9.7000000000000003E-3</v>
      </c>
      <c r="P390" s="7">
        <v>-3.3000000000000008E-3</v>
      </c>
      <c r="Q390" s="7">
        <v>1.2747875354107707E-2</v>
      </c>
      <c r="R390" s="7">
        <v>-1.6818E-2</v>
      </c>
      <c r="S390" s="7">
        <v>8.199999999999999E-3</v>
      </c>
    </row>
    <row r="391" spans="1:19" x14ac:dyDescent="0.3">
      <c r="A391" s="3">
        <v>197906</v>
      </c>
      <c r="B391" s="6">
        <f t="shared" si="12"/>
        <v>3.1464832019031039E-2</v>
      </c>
      <c r="C391" s="4">
        <f t="shared" si="13"/>
        <v>3.2223999999999996E-2</v>
      </c>
      <c r="D391" s="5">
        <v>5.1890000971722867E-2</v>
      </c>
      <c r="E391" s="5">
        <v>5.3895841744045214E-2</v>
      </c>
      <c r="F391" s="7">
        <v>0.13584685647653291</v>
      </c>
      <c r="G391" s="7">
        <v>0.38197424892703863</v>
      </c>
      <c r="H391" s="7">
        <v>5.7148097728556852E-4</v>
      </c>
      <c r="I391" s="7">
        <v>1.0578636072115728</v>
      </c>
      <c r="J391" s="7">
        <v>1.2069356528299508E-2</v>
      </c>
      <c r="K391" s="8">
        <v>9.06E-2</v>
      </c>
      <c r="L391" s="8">
        <v>8.77E-2</v>
      </c>
      <c r="M391" s="8">
        <v>3.1099999999999999E-2</v>
      </c>
      <c r="N391" s="7">
        <v>-2.8999999999999998E-3</v>
      </c>
      <c r="O391" s="7">
        <v>1.0900000000000007E-2</v>
      </c>
      <c r="P391" s="7">
        <v>-4.1999999999999989E-3</v>
      </c>
      <c r="Q391" s="7">
        <v>1.118881118881121E-2</v>
      </c>
      <c r="R391" s="7">
        <v>4.0323999999999999E-2</v>
      </c>
      <c r="S391" s="7">
        <v>8.1000000000000013E-3</v>
      </c>
    </row>
    <row r="392" spans="1:19" x14ac:dyDescent="0.3">
      <c r="A392" s="3">
        <v>197907</v>
      </c>
      <c r="B392" s="6">
        <f t="shared" si="12"/>
        <v>4.308458548172793E-3</v>
      </c>
      <c r="C392" s="4">
        <f t="shared" si="13"/>
        <v>4.350999999999999E-3</v>
      </c>
      <c r="D392" s="5">
        <v>5.1986032174164337E-2</v>
      </c>
      <c r="E392" s="5">
        <v>5.2440676319113796E-2</v>
      </c>
      <c r="F392" s="7">
        <v>0.13675657451112608</v>
      </c>
      <c r="G392" s="7">
        <v>0.38013552445286586</v>
      </c>
      <c r="H392" s="7">
        <v>7.0768478619948299E-4</v>
      </c>
      <c r="I392" s="7">
        <v>1.052314453817254</v>
      </c>
      <c r="J392" s="7">
        <v>9.6792161373673111E-3</v>
      </c>
      <c r="K392" s="8">
        <v>9.2399999999999996E-2</v>
      </c>
      <c r="L392" s="8">
        <v>8.9499999999999996E-2</v>
      </c>
      <c r="M392" s="8">
        <v>-8.5000000000000006E-3</v>
      </c>
      <c r="N392" s="7">
        <v>-2.8999999999999998E-3</v>
      </c>
      <c r="O392" s="7">
        <v>1.0899999999999993E-2</v>
      </c>
      <c r="P392" s="7">
        <v>5.4000000000000003E-3</v>
      </c>
      <c r="Q392" s="7">
        <v>1.1065006915629283E-2</v>
      </c>
      <c r="R392" s="7">
        <v>1.2050999999999999E-2</v>
      </c>
      <c r="S392" s="7">
        <v>7.7000000000000002E-3</v>
      </c>
    </row>
    <row r="393" spans="1:19" x14ac:dyDescent="0.3">
      <c r="A393" s="3">
        <v>197908</v>
      </c>
      <c r="B393" s="6">
        <f t="shared" si="12"/>
        <v>5.2356289791200002E-2</v>
      </c>
      <c r="C393" s="4">
        <f t="shared" si="13"/>
        <v>5.4165000000000005E-2</v>
      </c>
      <c r="D393" s="5">
        <v>4.9884101719721921E-2</v>
      </c>
      <c r="E393" s="5">
        <v>5.2531837009921971E-2</v>
      </c>
      <c r="F393" s="7">
        <v>0.13184504207830225</v>
      </c>
      <c r="G393" s="7">
        <v>0.37835402024519021</v>
      </c>
      <c r="H393" s="7">
        <v>5.0647984606746652E-4</v>
      </c>
      <c r="I393" s="7">
        <v>1.00345864831067</v>
      </c>
      <c r="J393" s="7">
        <v>1.1569049517541688E-2</v>
      </c>
      <c r="K393" s="8">
        <v>9.5199999999999993E-2</v>
      </c>
      <c r="L393" s="8">
        <v>9.0700000000000003E-2</v>
      </c>
      <c r="M393" s="8">
        <v>-3.5000000000000001E-3</v>
      </c>
      <c r="N393" s="7">
        <v>-4.4999999999999901E-3</v>
      </c>
      <c r="O393" s="7">
        <v>1.1199999999999988E-2</v>
      </c>
      <c r="P393" s="7">
        <v>4.1000000000000003E-3</v>
      </c>
      <c r="Q393" s="7">
        <v>9.5759233926129284E-3</v>
      </c>
      <c r="R393" s="7">
        <v>6.1865000000000003E-2</v>
      </c>
      <c r="S393" s="7">
        <v>7.7000000000000002E-3</v>
      </c>
    </row>
    <row r="394" spans="1:19" x14ac:dyDescent="0.3">
      <c r="A394" s="3">
        <v>197909</v>
      </c>
      <c r="B394" s="6">
        <f t="shared" si="12"/>
        <v>-6.8507459996500018E-3</v>
      </c>
      <c r="C394" s="4">
        <f t="shared" si="13"/>
        <v>-6.8840000000000004E-3</v>
      </c>
      <c r="D394" s="5">
        <v>5.0402488108305894E-2</v>
      </c>
      <c r="E394" s="5">
        <v>5.0402488108305894E-2</v>
      </c>
      <c r="F394" s="7">
        <v>0.13382729601170876</v>
      </c>
      <c r="G394" s="7">
        <v>0.37662337662337658</v>
      </c>
      <c r="H394" s="7">
        <v>1.2330662797023723E-3</v>
      </c>
      <c r="I394" s="7">
        <v>1.0137949873659768</v>
      </c>
      <c r="J394" s="7">
        <v>9.4038938794179933E-3</v>
      </c>
      <c r="K394" s="8">
        <v>0.1026</v>
      </c>
      <c r="L394" s="8">
        <v>9.2700000000000005E-2</v>
      </c>
      <c r="M394" s="8">
        <v>-1.2200000000000001E-2</v>
      </c>
      <c r="N394" s="7">
        <v>-9.8999999999999921E-3</v>
      </c>
      <c r="O394" s="7">
        <v>1.0999999999999996E-2</v>
      </c>
      <c r="P394" s="7">
        <v>-5.6999999999999985E-3</v>
      </c>
      <c r="Q394" s="7">
        <v>1.084010840108407E-2</v>
      </c>
      <c r="R394" s="7">
        <v>1.4159999999999999E-3</v>
      </c>
      <c r="S394" s="7">
        <v>8.3000000000000001E-3</v>
      </c>
    </row>
    <row r="395" spans="1:19" x14ac:dyDescent="0.3">
      <c r="A395" s="3">
        <v>197910</v>
      </c>
      <c r="B395" s="6">
        <f t="shared" si="12"/>
        <v>-7.6470232683894565E-2</v>
      </c>
      <c r="C395" s="4">
        <f t="shared" si="13"/>
        <v>-7.4259999999999993E-2</v>
      </c>
      <c r="D395" s="5">
        <v>5.4573462973875476E-2</v>
      </c>
      <c r="E395" s="5">
        <v>5.0829399926820354E-2</v>
      </c>
      <c r="F395" s="7">
        <v>0.1444382243174229</v>
      </c>
      <c r="G395" s="7">
        <v>0.37783255251008047</v>
      </c>
      <c r="H395" s="7">
        <v>2.5892993527645825E-3</v>
      </c>
      <c r="I395" s="7">
        <v>1.0919455682236117</v>
      </c>
      <c r="J395" s="7">
        <v>1.0209512727290818E-2</v>
      </c>
      <c r="K395" s="8">
        <v>0.11699999999999999</v>
      </c>
      <c r="L395" s="8">
        <v>0.10340000000000001</v>
      </c>
      <c r="M395" s="8">
        <v>-8.4099999999999994E-2</v>
      </c>
      <c r="N395" s="7">
        <v>-1.3599999999999987E-2</v>
      </c>
      <c r="O395" s="7">
        <v>1.2700000000000003E-2</v>
      </c>
      <c r="P395" s="7">
        <v>-4.9000000000000016E-3</v>
      </c>
      <c r="Q395" s="7">
        <v>8.0428954423592547E-3</v>
      </c>
      <c r="R395" s="7">
        <v>-6.5559999999999993E-2</v>
      </c>
      <c r="S395" s="7">
        <v>8.6999999999999994E-3</v>
      </c>
    </row>
    <row r="396" spans="1:19" x14ac:dyDescent="0.3">
      <c r="A396" s="3">
        <v>197911</v>
      </c>
      <c r="B396" s="6">
        <f t="shared" si="12"/>
        <v>4.1580118795343943E-2</v>
      </c>
      <c r="C396" s="4">
        <f t="shared" si="13"/>
        <v>4.2876999999999998E-2</v>
      </c>
      <c r="D396" s="5">
        <v>5.2781932931424261E-2</v>
      </c>
      <c r="E396" s="5">
        <v>5.503172264780986E-2</v>
      </c>
      <c r="F396" s="7">
        <v>0.13925489826676715</v>
      </c>
      <c r="G396" s="7">
        <v>0.37903106884119236</v>
      </c>
      <c r="H396" s="7">
        <v>1.5583805673476338E-3</v>
      </c>
      <c r="I396" s="7">
        <v>1.0831154617863441</v>
      </c>
      <c r="J396" s="7">
        <v>1.0778663339178899E-2</v>
      </c>
      <c r="K396" s="8">
        <v>0.11789999999999999</v>
      </c>
      <c r="L396" s="8">
        <v>0.1009</v>
      </c>
      <c r="M396" s="8">
        <v>3.1099999999999999E-2</v>
      </c>
      <c r="N396" s="7">
        <v>-1.6999999999999987E-2</v>
      </c>
      <c r="O396" s="7">
        <v>1.2300000000000005E-2</v>
      </c>
      <c r="P396" s="7">
        <v>-8.8999999999999982E-3</v>
      </c>
      <c r="Q396" s="7">
        <v>9.3085106382979621E-3</v>
      </c>
      <c r="R396" s="7">
        <v>5.2776999999999998E-2</v>
      </c>
      <c r="S396" s="7">
        <v>9.8999999999999991E-3</v>
      </c>
    </row>
    <row r="397" spans="1:19" x14ac:dyDescent="0.3">
      <c r="A397" s="3">
        <v>197912</v>
      </c>
      <c r="B397" s="6">
        <f t="shared" si="12"/>
        <v>8.7186918081091115E-3</v>
      </c>
      <c r="C397" s="4">
        <f t="shared" si="13"/>
        <v>8.8399999999999989E-3</v>
      </c>
      <c r="D397" s="5">
        <v>5.234389475634612E-2</v>
      </c>
      <c r="E397" s="5">
        <v>5.322155237377544E-2</v>
      </c>
      <c r="F397" s="7">
        <v>0.13766907541226608</v>
      </c>
      <c r="G397" s="7">
        <v>0.38021534320323019</v>
      </c>
      <c r="H397" s="7">
        <v>4.6964217401907789E-4</v>
      </c>
      <c r="I397" s="7">
        <v>1.0619500679590814</v>
      </c>
      <c r="J397" s="7">
        <v>1.0514435016064295E-2</v>
      </c>
      <c r="K397" s="8">
        <v>0.12039999999999999</v>
      </c>
      <c r="L397" s="8">
        <v>0.1012</v>
      </c>
      <c r="M397" s="8">
        <v>5.7000000000000002E-3</v>
      </c>
      <c r="N397" s="7">
        <v>-1.9199999999999995E-2</v>
      </c>
      <c r="O397" s="7">
        <v>1.3200000000000003E-2</v>
      </c>
      <c r="P397" s="7">
        <v>-1.6500000000000001E-2</v>
      </c>
      <c r="Q397" s="7">
        <v>1.0540184453227797E-2</v>
      </c>
      <c r="R397" s="7">
        <v>1.8339999999999999E-2</v>
      </c>
      <c r="S397" s="7">
        <v>9.4999999999999998E-3</v>
      </c>
    </row>
    <row r="398" spans="1:19" x14ac:dyDescent="0.3">
      <c r="A398" s="3">
        <v>198001</v>
      </c>
      <c r="B398" s="6">
        <f t="shared" si="12"/>
        <v>5.153394003323887E-2</v>
      </c>
      <c r="C398" s="4">
        <f t="shared" si="13"/>
        <v>5.3308000000000001E-2</v>
      </c>
      <c r="D398" s="5">
        <v>4.9929922915206731E-2</v>
      </c>
      <c r="E398" s="5">
        <v>5.2807115063924402E-2</v>
      </c>
      <c r="F398" s="7">
        <v>0.13142344078486334</v>
      </c>
      <c r="G398" s="7">
        <v>0.3799164183879547</v>
      </c>
      <c r="H398" s="7">
        <v>1.9064054902535228E-3</v>
      </c>
      <c r="I398" s="7">
        <v>1.0169549580407604</v>
      </c>
      <c r="J398" s="7">
        <v>1.1297442703455583E-2</v>
      </c>
      <c r="K398" s="8">
        <v>0.12</v>
      </c>
      <c r="L398" s="8">
        <v>0.1114</v>
      </c>
      <c r="M398" s="8">
        <v>-7.4099999999999999E-2</v>
      </c>
      <c r="N398" s="7">
        <v>-8.5999999999999965E-3</v>
      </c>
      <c r="O398" s="7">
        <v>1.3300000000000006E-2</v>
      </c>
      <c r="P398" s="7">
        <v>9.5999999999999974E-3</v>
      </c>
      <c r="Q398" s="7">
        <v>1.4341590612777066E-2</v>
      </c>
      <c r="R398" s="7">
        <v>6.1308000000000001E-2</v>
      </c>
      <c r="S398" s="7">
        <v>8.0000000000000002E-3</v>
      </c>
    </row>
    <row r="399" spans="1:19" x14ac:dyDescent="0.3">
      <c r="A399" s="3">
        <v>198002</v>
      </c>
      <c r="B399" s="6">
        <f t="shared" si="12"/>
        <v>-6.253031170949587E-3</v>
      </c>
      <c r="C399" s="4">
        <f t="shared" si="13"/>
        <v>-6.2889999999999995E-3</v>
      </c>
      <c r="D399" s="5">
        <v>5.0589477388703154E-2</v>
      </c>
      <c r="E399" s="5">
        <v>5.0367904695164681E-2</v>
      </c>
      <c r="F399" s="7">
        <v>0.13326324124582087</v>
      </c>
      <c r="G399" s="7">
        <v>0.37962064344048541</v>
      </c>
      <c r="H399" s="7">
        <v>1.8976181214909161E-3</v>
      </c>
      <c r="I399" s="7">
        <v>1.0319299302546516</v>
      </c>
      <c r="J399" s="7">
        <v>1.082715684273943E-2</v>
      </c>
      <c r="K399" s="8">
        <v>0.12859999999999999</v>
      </c>
      <c r="L399" s="8">
        <v>0.1186</v>
      </c>
      <c r="M399" s="8">
        <v>-4.6699999999999998E-2</v>
      </c>
      <c r="N399" s="7">
        <v>-9.999999999999995E-3</v>
      </c>
      <c r="O399" s="7">
        <v>1.1900000000000008E-2</v>
      </c>
      <c r="P399" s="7">
        <v>-1.9800000000000005E-2</v>
      </c>
      <c r="Q399" s="7">
        <v>1.413881748071999E-2</v>
      </c>
      <c r="R399" s="7">
        <v>2.611E-3</v>
      </c>
      <c r="S399" s="7">
        <v>8.8999999999999999E-3</v>
      </c>
    </row>
    <row r="400" spans="1:19" x14ac:dyDescent="0.3">
      <c r="A400" s="3">
        <v>198003</v>
      </c>
      <c r="B400" s="6">
        <f t="shared" si="12"/>
        <v>-0.11463391378505361</v>
      </c>
      <c r="C400" s="4">
        <f t="shared" si="13"/>
        <v>-0.10961799999999999</v>
      </c>
      <c r="D400" s="5">
        <v>5.6812616318934271E-2</v>
      </c>
      <c r="E400" s="5">
        <v>5.1029385887735354E-2</v>
      </c>
      <c r="F400" s="7">
        <v>0.14976981095112155</v>
      </c>
      <c r="G400" s="7">
        <v>0.37933289731850883</v>
      </c>
      <c r="H400" s="7">
        <v>4.6218941759550254E-3</v>
      </c>
      <c r="I400" s="7">
        <v>1.0937321030862233</v>
      </c>
      <c r="J400" s="7">
        <v>1.1877413210328735E-2</v>
      </c>
      <c r="K400" s="8">
        <v>0.152</v>
      </c>
      <c r="L400" s="8">
        <v>0.1239</v>
      </c>
      <c r="M400" s="8">
        <v>-3.15E-2</v>
      </c>
      <c r="N400" s="7">
        <v>-2.81E-2</v>
      </c>
      <c r="O400" s="7">
        <v>1.4899999999999969E-2</v>
      </c>
      <c r="P400" s="7">
        <v>2.53E-2</v>
      </c>
      <c r="Q400" s="7">
        <v>1.5209125475285079E-2</v>
      </c>
      <c r="R400" s="7">
        <v>-9.7517999999999994E-2</v>
      </c>
      <c r="S400" s="7">
        <v>1.21E-2</v>
      </c>
    </row>
    <row r="401" spans="1:19" x14ac:dyDescent="0.3">
      <c r="A401" s="3">
        <v>198004</v>
      </c>
      <c r="B401" s="6">
        <f t="shared" si="12"/>
        <v>2.899871031044839E-2</v>
      </c>
      <c r="C401" s="4">
        <f t="shared" si="13"/>
        <v>2.9794000000000001E-2</v>
      </c>
      <c r="D401" s="5">
        <v>5.5006773920406427E-2</v>
      </c>
      <c r="E401" s="5">
        <v>5.7269761974728176E-2</v>
      </c>
      <c r="F401" s="7">
        <v>0.14275378680967163</v>
      </c>
      <c r="G401" s="7">
        <v>0.38532619799252632</v>
      </c>
      <c r="H401" s="7">
        <v>2.7455492703903528E-3</v>
      </c>
      <c r="I401" s="7">
        <v>1.0518199397841039</v>
      </c>
      <c r="J401" s="7">
        <v>1.5347768605061341E-2</v>
      </c>
      <c r="K401" s="8">
        <v>0.13200000000000001</v>
      </c>
      <c r="L401" s="8">
        <v>0.1076</v>
      </c>
      <c r="M401" s="8">
        <v>0.15229999999999999</v>
      </c>
      <c r="N401" s="7">
        <v>-2.4400000000000005E-2</v>
      </c>
      <c r="O401" s="7">
        <v>2.1500000000000005E-2</v>
      </c>
      <c r="P401" s="7">
        <v>-1.4699999999999991E-2</v>
      </c>
      <c r="Q401" s="7">
        <v>1.1235955056179803E-2</v>
      </c>
      <c r="R401" s="7">
        <v>4.2394000000000001E-2</v>
      </c>
      <c r="S401" s="7">
        <v>1.26E-2</v>
      </c>
    </row>
    <row r="402" spans="1:19" x14ac:dyDescent="0.3">
      <c r="A402" s="3">
        <v>198005</v>
      </c>
      <c r="B402" s="6">
        <f t="shared" si="12"/>
        <v>4.6004060709968569E-2</v>
      </c>
      <c r="C402" s="4">
        <f t="shared" si="13"/>
        <v>4.7459999999999995E-2</v>
      </c>
      <c r="D402" s="5">
        <v>5.2978514922689679E-2</v>
      </c>
      <c r="E402" s="5">
        <v>5.544576159563458E-2</v>
      </c>
      <c r="F402" s="7">
        <v>0.13535329018338726</v>
      </c>
      <c r="G402" s="7">
        <v>0.39140914011702432</v>
      </c>
      <c r="H402" s="7">
        <v>1.5097166273553737E-3</v>
      </c>
      <c r="I402" s="7">
        <v>1.0100487747546572</v>
      </c>
      <c r="J402" s="7">
        <v>1.505184717391791E-2</v>
      </c>
      <c r="K402" s="8">
        <v>8.5800000000000001E-2</v>
      </c>
      <c r="L402" s="8">
        <v>0.1037</v>
      </c>
      <c r="M402" s="8">
        <v>4.19E-2</v>
      </c>
      <c r="N402" s="7">
        <v>1.7899999999999999E-2</v>
      </c>
      <c r="O402" s="7">
        <v>2.1800000000000014E-2</v>
      </c>
      <c r="P402" s="7">
        <v>1.4100000000000001E-2</v>
      </c>
      <c r="Q402" s="7">
        <v>9.8765432098764094E-3</v>
      </c>
      <c r="R402" s="7">
        <v>5.5559999999999998E-2</v>
      </c>
      <c r="S402" s="7">
        <v>8.1000000000000013E-3</v>
      </c>
    </row>
    <row r="403" spans="1:19" x14ac:dyDescent="0.3">
      <c r="A403" s="3">
        <v>198006</v>
      </c>
      <c r="B403" s="6">
        <f t="shared" si="12"/>
        <v>2.3207392582708743E-2</v>
      </c>
      <c r="C403" s="4">
        <f t="shared" si="13"/>
        <v>2.3621999999999997E-2</v>
      </c>
      <c r="D403" s="5">
        <v>5.1995798319327734E-2</v>
      </c>
      <c r="E403" s="5">
        <v>5.3398058252427189E-2</v>
      </c>
      <c r="F403" s="7">
        <v>0.13077731092436976</v>
      </c>
      <c r="G403" s="7">
        <v>0.39759036144578319</v>
      </c>
      <c r="H403" s="7">
        <v>1.3710848425304825E-3</v>
      </c>
      <c r="I403" s="7">
        <v>0.99018342704396722</v>
      </c>
      <c r="J403" s="7">
        <v>1.5304374891236249E-2</v>
      </c>
      <c r="K403" s="8">
        <v>7.0699999999999999E-2</v>
      </c>
      <c r="L403" s="8">
        <v>0.10059999999999999</v>
      </c>
      <c r="M403" s="8">
        <v>3.5900000000000001E-2</v>
      </c>
      <c r="N403" s="7">
        <v>2.9899999999999996E-2</v>
      </c>
      <c r="O403" s="7">
        <v>2.1300000000000013E-2</v>
      </c>
      <c r="P403" s="7">
        <v>-1.800000000000003E-3</v>
      </c>
      <c r="Q403" s="7">
        <v>1.1002444987775029E-2</v>
      </c>
      <c r="R403" s="7">
        <v>2.9721999999999998E-2</v>
      </c>
      <c r="S403" s="7">
        <v>6.0999999999999995E-3</v>
      </c>
    </row>
    <row r="404" spans="1:19" x14ac:dyDescent="0.3">
      <c r="A404" s="3">
        <v>198007</v>
      </c>
      <c r="B404" s="6">
        <f t="shared" si="12"/>
        <v>6.0688984494295481E-2</v>
      </c>
      <c r="C404" s="4">
        <f t="shared" si="13"/>
        <v>6.2899999999999998E-2</v>
      </c>
      <c r="D404" s="5">
        <v>4.9176707487466095E-2</v>
      </c>
      <c r="E404" s="5">
        <v>5.2375087535014006E-2</v>
      </c>
      <c r="F404" s="7">
        <v>0.12196926111613381</v>
      </c>
      <c r="G404" s="7">
        <v>0.40318935309973042</v>
      </c>
      <c r="H404" s="7">
        <v>1.362830978984467E-3</v>
      </c>
      <c r="I404" s="7">
        <v>0.91882991917204804</v>
      </c>
      <c r="J404" s="7">
        <v>2.0154028095569532E-2</v>
      </c>
      <c r="K404" s="8">
        <v>8.0600000000000005E-2</v>
      </c>
      <c r="L404" s="8">
        <v>0.1074</v>
      </c>
      <c r="M404" s="8">
        <v>-4.7600000000000003E-2</v>
      </c>
      <c r="N404" s="7">
        <v>2.679999999999999E-2</v>
      </c>
      <c r="O404" s="7">
        <v>1.5799999999999995E-2</v>
      </c>
      <c r="P404" s="7">
        <v>4.7000000000000028E-3</v>
      </c>
      <c r="Q404" s="7">
        <v>0</v>
      </c>
      <c r="R404" s="7">
        <v>6.8199999999999997E-2</v>
      </c>
      <c r="S404" s="7">
        <v>5.3E-3</v>
      </c>
    </row>
    <row r="405" spans="1:19" x14ac:dyDescent="0.3">
      <c r="A405" s="3">
        <v>198008</v>
      </c>
      <c r="B405" s="6">
        <f t="shared" si="12"/>
        <v>6.9846916440150829E-3</v>
      </c>
      <c r="C405" s="4">
        <f t="shared" si="13"/>
        <v>7.0540000000000004E-3</v>
      </c>
      <c r="D405" s="5">
        <v>4.9245546657950647E-2</v>
      </c>
      <c r="E405" s="5">
        <v>4.9532916906386129E-2</v>
      </c>
      <c r="F405" s="7">
        <v>0.12044451707795392</v>
      </c>
      <c r="G405" s="7">
        <v>0.40886499321573949</v>
      </c>
      <c r="H405" s="7">
        <v>1.708158415822877E-3</v>
      </c>
      <c r="I405" s="7">
        <v>0.92151963885523103</v>
      </c>
      <c r="J405" s="7">
        <v>1.9950651796813202E-2</v>
      </c>
      <c r="K405" s="8">
        <v>9.1300000000000006E-2</v>
      </c>
      <c r="L405" s="8">
        <v>0.114</v>
      </c>
      <c r="M405" s="8">
        <v>-4.3200000000000002E-2</v>
      </c>
      <c r="N405" s="7">
        <v>2.2699999999999998E-2</v>
      </c>
      <c r="O405" s="7">
        <v>1.5100000000000002E-2</v>
      </c>
      <c r="P405" s="7">
        <v>-1.2999999999999956E-3</v>
      </c>
      <c r="Q405" s="7">
        <v>7.2551390568318386E-3</v>
      </c>
      <c r="R405" s="7">
        <v>1.3454000000000001E-2</v>
      </c>
      <c r="S405" s="7">
        <v>6.4000000000000003E-3</v>
      </c>
    </row>
    <row r="406" spans="1:19" x14ac:dyDescent="0.3">
      <c r="A406" s="3">
        <v>198009</v>
      </c>
      <c r="B406" s="6">
        <f t="shared" si="12"/>
        <v>2.0079920623214263E-2</v>
      </c>
      <c r="C406" s="4">
        <f t="shared" si="13"/>
        <v>2.0435000000000002E-2</v>
      </c>
      <c r="D406" s="5">
        <v>4.8381954407779378E-2</v>
      </c>
      <c r="E406" s="5">
        <v>4.9599607779048871E-2</v>
      </c>
      <c r="F406" s="7">
        <v>0.1166905786704926</v>
      </c>
      <c r="G406" s="7">
        <v>0.4146174863387978</v>
      </c>
      <c r="H406" s="7">
        <v>2.6574057222541821E-3</v>
      </c>
      <c r="I406" s="7">
        <v>0.92168765148752707</v>
      </c>
      <c r="J406" s="7">
        <v>2.3796818682960661E-2</v>
      </c>
      <c r="K406" s="8">
        <v>0.1027</v>
      </c>
      <c r="L406" s="8">
        <v>0.11849999999999999</v>
      </c>
      <c r="M406" s="8">
        <v>-2.6200000000000001E-2</v>
      </c>
      <c r="N406" s="7">
        <v>1.5799999999999995E-2</v>
      </c>
      <c r="O406" s="7">
        <v>1.6799999999999982E-2</v>
      </c>
      <c r="P406" s="7">
        <v>2.5000000000000022E-3</v>
      </c>
      <c r="Q406" s="7">
        <v>8.4033613445377853E-3</v>
      </c>
      <c r="R406" s="7">
        <v>2.7935000000000001E-2</v>
      </c>
      <c r="S406" s="7">
        <v>7.4999999999999997E-3</v>
      </c>
    </row>
    <row r="407" spans="1:19" x14ac:dyDescent="0.3">
      <c r="A407" s="3">
        <v>198010</v>
      </c>
      <c r="B407" s="6">
        <f t="shared" si="12"/>
        <v>8.1971189644343585E-3</v>
      </c>
      <c r="C407" s="4">
        <f t="shared" si="13"/>
        <v>8.3089999999999987E-3</v>
      </c>
      <c r="D407" s="5">
        <v>4.7854397113046204E-2</v>
      </c>
      <c r="E407" s="5">
        <v>4.8621074446038574E-2</v>
      </c>
      <c r="F407" s="7">
        <v>0.11532125205930807</v>
      </c>
      <c r="G407" s="7">
        <v>0.41496598639455784</v>
      </c>
      <c r="H407" s="7">
        <v>2.1906434652973158E-3</v>
      </c>
      <c r="I407" s="7">
        <v>0.92959361377624417</v>
      </c>
      <c r="J407" s="7">
        <v>2.2769955569282928E-2</v>
      </c>
      <c r="K407" s="8">
        <v>0.1162</v>
      </c>
      <c r="L407" s="8">
        <v>0.1231</v>
      </c>
      <c r="M407" s="8">
        <v>-2.63E-2</v>
      </c>
      <c r="N407" s="7">
        <v>6.9000000000000034E-3</v>
      </c>
      <c r="O407" s="7">
        <v>1.9200000000000009E-2</v>
      </c>
      <c r="P407" s="7">
        <v>1.04E-2</v>
      </c>
      <c r="Q407" s="7">
        <v>9.52380952380949E-3</v>
      </c>
      <c r="R407" s="7">
        <v>1.7808999999999998E-2</v>
      </c>
      <c r="S407" s="7">
        <v>9.4999999999999998E-3</v>
      </c>
    </row>
    <row r="408" spans="1:19" x14ac:dyDescent="0.3">
      <c r="A408" s="3">
        <v>198011</v>
      </c>
      <c r="B408" s="6">
        <f t="shared" si="12"/>
        <v>9.4724718151101395E-2</v>
      </c>
      <c r="C408" s="4">
        <f t="shared" si="13"/>
        <v>0.10031</v>
      </c>
      <c r="D408" s="5">
        <v>4.3623683461428975E-2</v>
      </c>
      <c r="E408" s="5">
        <v>4.8089746607044792E-2</v>
      </c>
      <c r="F408" s="7">
        <v>0.10503842869342442</v>
      </c>
      <c r="G408" s="7">
        <v>0.41531165311653118</v>
      </c>
      <c r="H408" s="7">
        <v>2.4190717546730728E-3</v>
      </c>
      <c r="I408" s="7">
        <v>0.86516197877866585</v>
      </c>
      <c r="J408" s="7">
        <v>2.1949968628250396E-2</v>
      </c>
      <c r="K408" s="8">
        <v>0.13730000000000001</v>
      </c>
      <c r="L408" s="8">
        <v>0.123</v>
      </c>
      <c r="M408" s="8">
        <v>0.01</v>
      </c>
      <c r="N408" s="7">
        <v>-1.4300000000000007E-2</v>
      </c>
      <c r="O408" s="7">
        <v>1.6699999999999993E-2</v>
      </c>
      <c r="P408" s="7">
        <v>-8.3000000000000001E-3</v>
      </c>
      <c r="Q408" s="7">
        <v>8.2547169811320042E-3</v>
      </c>
      <c r="R408" s="7">
        <v>0.10990999999999999</v>
      </c>
      <c r="S408" s="7">
        <v>9.5999999999999992E-3</v>
      </c>
    </row>
    <row r="409" spans="1:19" x14ac:dyDescent="0.3">
      <c r="A409" s="3">
        <v>198012</v>
      </c>
      <c r="B409" s="6">
        <f t="shared" si="12"/>
        <v>-4.4127966504616867E-2</v>
      </c>
      <c r="C409" s="4">
        <f t="shared" si="13"/>
        <v>-4.3734000000000002E-2</v>
      </c>
      <c r="D409" s="5">
        <v>4.5374189746611671E-2</v>
      </c>
      <c r="E409" s="5">
        <v>4.3837176202675771E-2</v>
      </c>
      <c r="F409" s="7">
        <v>0.10916322922804951</v>
      </c>
      <c r="G409" s="7">
        <v>0.41565452091767879</v>
      </c>
      <c r="H409" s="7">
        <v>2.9515288363084363E-3</v>
      </c>
      <c r="I409" s="7">
        <v>0.89150302389028924</v>
      </c>
      <c r="J409" s="7">
        <v>2.6817093504646283E-2</v>
      </c>
      <c r="K409" s="8">
        <v>0.15490000000000001</v>
      </c>
      <c r="L409" s="8">
        <v>0.11990000000000001</v>
      </c>
      <c r="M409" s="8">
        <v>3.5200000000000002E-2</v>
      </c>
      <c r="N409" s="7">
        <v>-3.5000000000000003E-2</v>
      </c>
      <c r="O409" s="7">
        <v>1.9300000000000012E-2</v>
      </c>
      <c r="P409" s="7">
        <v>-1.0400000000000003E-2</v>
      </c>
      <c r="Q409" s="7">
        <v>9.3567251461987855E-3</v>
      </c>
      <c r="R409" s="7">
        <v>-3.0634000000000002E-2</v>
      </c>
      <c r="S409" s="7">
        <v>1.3100000000000001E-2</v>
      </c>
    </row>
    <row r="410" spans="1:19" x14ac:dyDescent="0.3">
      <c r="A410" s="3">
        <v>198101</v>
      </c>
      <c r="B410" s="6">
        <f t="shared" si="12"/>
        <v>-5.4684879211375041E-2</v>
      </c>
      <c r="C410" s="4">
        <f t="shared" si="13"/>
        <v>-5.3769999999999998E-2</v>
      </c>
      <c r="D410" s="5">
        <v>4.7857969895793127E-2</v>
      </c>
      <c r="E410" s="5">
        <v>4.5668827342368892E-2</v>
      </c>
      <c r="F410" s="7">
        <v>0.11377846391354689</v>
      </c>
      <c r="G410" s="7">
        <v>0.42062415196743558</v>
      </c>
      <c r="H410" s="7">
        <v>1.5974347758942668E-3</v>
      </c>
      <c r="I410" s="7">
        <v>0.90723869646457711</v>
      </c>
      <c r="J410" s="7">
        <v>2.869618632031698E-2</v>
      </c>
      <c r="K410" s="8">
        <v>0.1502</v>
      </c>
      <c r="L410" s="8">
        <v>0.1211</v>
      </c>
      <c r="M410" s="8">
        <v>-1.15E-2</v>
      </c>
      <c r="N410" s="7">
        <v>-2.9100000000000001E-2</v>
      </c>
      <c r="O410" s="7">
        <v>2.2199999999999998E-2</v>
      </c>
      <c r="P410" s="7">
        <v>-1.4999999999999996E-3</v>
      </c>
      <c r="Q410" s="7">
        <v>8.1112398609501923E-3</v>
      </c>
      <c r="R410" s="7">
        <v>-4.3369999999999999E-2</v>
      </c>
      <c r="S410" s="7">
        <v>1.04E-2</v>
      </c>
    </row>
    <row r="411" spans="1:19" x14ac:dyDescent="0.3">
      <c r="A411" s="3">
        <v>198102</v>
      </c>
      <c r="B411" s="6">
        <f t="shared" si="12"/>
        <v>1.0400853221878057E-2</v>
      </c>
      <c r="C411" s="4">
        <f t="shared" si="13"/>
        <v>1.0567E-2</v>
      </c>
      <c r="D411" s="5">
        <v>4.753561362078159E-2</v>
      </c>
      <c r="E411" s="5">
        <v>4.8166730991895015E-2</v>
      </c>
      <c r="F411" s="7">
        <v>0.11167822046164393</v>
      </c>
      <c r="G411" s="7">
        <v>0.42564802182810368</v>
      </c>
      <c r="H411" s="7">
        <v>1.5309090259574443E-3</v>
      </c>
      <c r="I411" s="7">
        <v>0.8818157565310184</v>
      </c>
      <c r="J411" s="7">
        <v>3.0010117898388162E-2</v>
      </c>
      <c r="K411" s="8">
        <v>0.1479</v>
      </c>
      <c r="L411" s="8">
        <v>0.1283</v>
      </c>
      <c r="M411" s="8">
        <v>-4.3499999999999997E-2</v>
      </c>
      <c r="N411" s="7">
        <v>-1.9600000000000006E-2</v>
      </c>
      <c r="O411" s="7">
        <v>2.0199999999999996E-2</v>
      </c>
      <c r="P411" s="7">
        <v>1.6599999999999997E-2</v>
      </c>
      <c r="Q411" s="7">
        <v>1.0344827586207028E-2</v>
      </c>
      <c r="R411" s="7">
        <v>2.1267000000000001E-2</v>
      </c>
      <c r="S411" s="7">
        <v>1.0700000000000001E-2</v>
      </c>
    </row>
    <row r="412" spans="1:19" x14ac:dyDescent="0.3">
      <c r="A412" s="3">
        <v>198103</v>
      </c>
      <c r="B412" s="6">
        <f t="shared" si="12"/>
        <v>2.5542933318490602E-2</v>
      </c>
      <c r="C412" s="4">
        <f t="shared" si="13"/>
        <v>2.6185E-2</v>
      </c>
      <c r="D412" s="5">
        <v>4.6176470588235298E-2</v>
      </c>
      <c r="E412" s="5">
        <v>4.7840329092709681E-2</v>
      </c>
      <c r="F412" s="7">
        <v>0.10720588235294118</v>
      </c>
      <c r="G412" s="7">
        <v>0.43072702331961593</v>
      </c>
      <c r="H412" s="7">
        <v>2.0759443925259368E-3</v>
      </c>
      <c r="I412" s="7">
        <v>0.92492055744269674</v>
      </c>
      <c r="J412" s="7">
        <v>2.7940014751002416E-2</v>
      </c>
      <c r="K412" s="8">
        <v>0.1336</v>
      </c>
      <c r="L412" s="8">
        <v>0.12479999999999999</v>
      </c>
      <c r="M412" s="8">
        <v>3.8399999999999997E-2</v>
      </c>
      <c r="N412" s="7">
        <v>-8.8000000000000023E-3</v>
      </c>
      <c r="O412" s="7">
        <v>2.0100000000000007E-2</v>
      </c>
      <c r="P412" s="7">
        <v>-7.2999999999999975E-3</v>
      </c>
      <c r="Q412" s="7">
        <v>6.8259385665527805E-3</v>
      </c>
      <c r="R412" s="7">
        <v>3.8285E-2</v>
      </c>
      <c r="S412" s="7">
        <v>1.21E-2</v>
      </c>
    </row>
    <row r="413" spans="1:19" x14ac:dyDescent="0.3">
      <c r="A413" s="3">
        <v>198104</v>
      </c>
      <c r="B413" s="6">
        <f t="shared" si="12"/>
        <v>-3.1160133153561118E-2</v>
      </c>
      <c r="C413" s="4">
        <f t="shared" si="13"/>
        <v>-3.1011E-2</v>
      </c>
      <c r="D413" s="5">
        <v>4.7561704690911831E-2</v>
      </c>
      <c r="E413" s="5">
        <v>4.6446102941176473E-2</v>
      </c>
      <c r="F413" s="7">
        <v>0.11085987500941194</v>
      </c>
      <c r="G413" s="7">
        <v>0.42902542228983992</v>
      </c>
      <c r="H413" s="7">
        <v>8.320025887164561E-4</v>
      </c>
      <c r="I413" s="7">
        <v>0.93059383613129543</v>
      </c>
      <c r="J413" s="7">
        <v>2.7352014293356916E-2</v>
      </c>
      <c r="K413" s="8">
        <v>0.13689999999999999</v>
      </c>
      <c r="L413" s="8">
        <v>0.13320000000000001</v>
      </c>
      <c r="M413" s="8">
        <v>-5.1799999999999999E-2</v>
      </c>
      <c r="N413" s="7">
        <v>-3.6999999999999811E-3</v>
      </c>
      <c r="O413" s="7">
        <v>1.6800000000000009E-2</v>
      </c>
      <c r="P413" s="7">
        <v>-2.5099999999999997E-2</v>
      </c>
      <c r="Q413" s="7">
        <v>6.7796610169490457E-3</v>
      </c>
      <c r="R413" s="7">
        <v>-2.0211E-2</v>
      </c>
      <c r="S413" s="7">
        <v>1.0800000000000001E-2</v>
      </c>
    </row>
    <row r="414" spans="1:19" x14ac:dyDescent="0.3">
      <c r="A414" s="3">
        <v>198105</v>
      </c>
      <c r="B414" s="6">
        <f t="shared" si="12"/>
        <v>-4.9166641415348544E-3</v>
      </c>
      <c r="C414" s="4">
        <f t="shared" si="13"/>
        <v>-4.9610000000000001E-3</v>
      </c>
      <c r="D414" s="5">
        <v>4.7917112904442262E-2</v>
      </c>
      <c r="E414" s="5">
        <v>4.7837738122129353E-2</v>
      </c>
      <c r="F414" s="7">
        <v>0.11212534881966965</v>
      </c>
      <c r="G414" s="7">
        <v>0.4273530776836823</v>
      </c>
      <c r="H414" s="7">
        <v>9.2168802209731664E-4</v>
      </c>
      <c r="I414" s="7">
        <v>0.93622384673556847</v>
      </c>
      <c r="J414" s="7">
        <v>2.8844616064872756E-2</v>
      </c>
      <c r="K414" s="8">
        <v>0.16300000000000001</v>
      </c>
      <c r="L414" s="8">
        <v>0.1265</v>
      </c>
      <c r="M414" s="8">
        <v>6.2199999999999998E-2</v>
      </c>
      <c r="N414" s="7">
        <v>-3.6500000000000005E-2</v>
      </c>
      <c r="O414" s="7">
        <v>1.6300000000000009E-2</v>
      </c>
      <c r="P414" s="7">
        <v>-2.700000000000001E-3</v>
      </c>
      <c r="Q414" s="7">
        <v>7.8563411896745983E-3</v>
      </c>
      <c r="R414" s="7">
        <v>6.5389999999999997E-3</v>
      </c>
      <c r="S414" s="7">
        <v>1.15E-2</v>
      </c>
    </row>
    <row r="415" spans="1:19" x14ac:dyDescent="0.3">
      <c r="A415" s="3">
        <v>198106</v>
      </c>
      <c r="B415" s="6">
        <f t="shared" si="12"/>
        <v>-2.1698948103467591E-2</v>
      </c>
      <c r="C415" s="4">
        <f t="shared" si="13"/>
        <v>-2.1755000000000004E-2</v>
      </c>
      <c r="D415" s="5">
        <v>4.870055636003353E-2</v>
      </c>
      <c r="E415" s="5">
        <v>4.8193679764688135E-2</v>
      </c>
      <c r="F415" s="7">
        <v>0.1143967685389833</v>
      </c>
      <c r="G415" s="7">
        <v>0.42571618920719517</v>
      </c>
      <c r="H415" s="7">
        <v>9.9554279687810829E-4</v>
      </c>
      <c r="I415" s="7">
        <v>0.95047498157399068</v>
      </c>
      <c r="J415" s="7">
        <v>2.7893432122262422E-2</v>
      </c>
      <c r="K415" s="8">
        <v>0.14730000000000001</v>
      </c>
      <c r="L415" s="8">
        <v>0.13039999999999999</v>
      </c>
      <c r="M415" s="8">
        <v>-1.7899999999999999E-2</v>
      </c>
      <c r="N415" s="7">
        <v>-1.6900000000000026E-2</v>
      </c>
      <c r="O415" s="7">
        <v>2.049999999999999E-2</v>
      </c>
      <c r="P415" s="7">
        <v>2.0199999999999999E-2</v>
      </c>
      <c r="Q415" s="7">
        <v>8.9086859688196629E-3</v>
      </c>
      <c r="R415" s="7">
        <v>-8.2550000000000002E-3</v>
      </c>
      <c r="S415" s="7">
        <v>1.3500000000000002E-2</v>
      </c>
    </row>
    <row r="416" spans="1:19" x14ac:dyDescent="0.3">
      <c r="A416" s="3">
        <v>198107</v>
      </c>
      <c r="B416" s="6">
        <f t="shared" si="12"/>
        <v>-1.1610004465565288E-2</v>
      </c>
      <c r="C416" s="4">
        <f t="shared" si="13"/>
        <v>-1.1686E-2</v>
      </c>
      <c r="D416" s="5">
        <v>4.9139398105713418E-2</v>
      </c>
      <c r="E416" s="5">
        <v>4.9030790336102428E-2</v>
      </c>
      <c r="F416" s="7">
        <v>0.11531240452184542</v>
      </c>
      <c r="G416" s="7">
        <v>0.42614147462690521</v>
      </c>
      <c r="H416" s="7">
        <v>1.1029891171981149E-3</v>
      </c>
      <c r="I416" s="7">
        <v>0.97496692357771386</v>
      </c>
      <c r="J416" s="7">
        <v>2.5590218347198223E-2</v>
      </c>
      <c r="K416" s="8">
        <v>0.14949999999999999</v>
      </c>
      <c r="L416" s="8">
        <v>0.13700000000000001</v>
      </c>
      <c r="M416" s="8">
        <v>-3.5299999999999998E-2</v>
      </c>
      <c r="N416" s="7">
        <v>-1.2499999999999983E-2</v>
      </c>
      <c r="O416" s="7">
        <v>1.7899999999999999E-2</v>
      </c>
      <c r="P416" s="7">
        <v>-1.8999999999999989E-3</v>
      </c>
      <c r="Q416" s="7">
        <v>1.1037527593819041E-2</v>
      </c>
      <c r="R416" s="7">
        <v>7.1400000000000001E-4</v>
      </c>
      <c r="S416" s="7">
        <v>1.24E-2</v>
      </c>
    </row>
    <row r="417" spans="1:19" x14ac:dyDescent="0.3">
      <c r="A417" s="3">
        <v>198108</v>
      </c>
      <c r="B417" s="6">
        <f t="shared" si="12"/>
        <v>-6.9860715795126621E-2</v>
      </c>
      <c r="C417" s="4">
        <f t="shared" si="13"/>
        <v>-6.8339999999999998E-2</v>
      </c>
      <c r="D417" s="5">
        <v>5.2745907647202543E-2</v>
      </c>
      <c r="E417" s="5">
        <v>4.9470439963336395E-2</v>
      </c>
      <c r="F417" s="7">
        <v>0.12365257757146346</v>
      </c>
      <c r="G417" s="7">
        <v>0.42656537116437143</v>
      </c>
      <c r="H417" s="7">
        <v>1.8249380774940434E-3</v>
      </c>
      <c r="I417" s="7">
        <v>1.0533540562923298</v>
      </c>
      <c r="J417" s="7">
        <v>2.6991742201890389E-2</v>
      </c>
      <c r="K417" s="8">
        <v>0.15509999999999999</v>
      </c>
      <c r="L417" s="8">
        <v>0.14449999999999999</v>
      </c>
      <c r="M417" s="8">
        <v>-3.8600000000000002E-2</v>
      </c>
      <c r="N417" s="7">
        <v>-1.0599999999999998E-2</v>
      </c>
      <c r="O417" s="7">
        <v>1.4499999999999985E-2</v>
      </c>
      <c r="P417" s="7">
        <v>4.0999999999999995E-3</v>
      </c>
      <c r="Q417" s="7">
        <v>7.6419213973799582E-3</v>
      </c>
      <c r="R417" s="7">
        <v>-5.5539999999999999E-2</v>
      </c>
      <c r="S417" s="7">
        <v>1.2800000000000001E-2</v>
      </c>
    </row>
    <row r="418" spans="1:19" x14ac:dyDescent="0.3">
      <c r="A418" s="3">
        <v>198109</v>
      </c>
      <c r="B418" s="6">
        <f t="shared" si="12"/>
        <v>-6.410769073956249E-2</v>
      </c>
      <c r="C418" s="4">
        <f t="shared" si="13"/>
        <v>-6.2865999999999991E-2</v>
      </c>
      <c r="D418" s="5">
        <v>5.6119814081597517E-2</v>
      </c>
      <c r="E418" s="5">
        <v>5.3098786546135673E-2</v>
      </c>
      <c r="F418" s="7">
        <v>0.13143398175245308</v>
      </c>
      <c r="G418" s="7">
        <v>0.42698100851342502</v>
      </c>
      <c r="H418" s="7">
        <v>2.7611735209557885E-3</v>
      </c>
      <c r="I418" s="7">
        <v>1.0923786442033929</v>
      </c>
      <c r="J418" s="7">
        <v>2.1483371215345819E-2</v>
      </c>
      <c r="K418" s="8">
        <v>0.14699999999999999</v>
      </c>
      <c r="L418" s="8">
        <v>0.1482</v>
      </c>
      <c r="M418" s="8">
        <v>-1.4500000000000001E-2</v>
      </c>
      <c r="N418" s="7">
        <v>1.2000000000000066E-3</v>
      </c>
      <c r="O418" s="7">
        <v>1.4300000000000007E-2</v>
      </c>
      <c r="P418" s="7">
        <v>-5.4000000000000003E-3</v>
      </c>
      <c r="Q418" s="7">
        <v>9.750812567713929E-3</v>
      </c>
      <c r="R418" s="7">
        <v>-5.0465999999999997E-2</v>
      </c>
      <c r="S418" s="7">
        <v>1.24E-2</v>
      </c>
    </row>
    <row r="419" spans="1:19" x14ac:dyDescent="0.3">
      <c r="A419" s="3">
        <v>198110</v>
      </c>
      <c r="B419" s="6">
        <f t="shared" si="12"/>
        <v>3.8775043717639554E-2</v>
      </c>
      <c r="C419" s="4">
        <f t="shared" si="13"/>
        <v>4.0015000000000002E-2</v>
      </c>
      <c r="D419" s="5">
        <v>5.3791697432110923E-2</v>
      </c>
      <c r="E419" s="5">
        <v>5.6435444999139266E-2</v>
      </c>
      <c r="F419" s="7">
        <v>0.12552301255230125</v>
      </c>
      <c r="G419" s="7">
        <v>0.42854052287581701</v>
      </c>
      <c r="H419" s="7">
        <v>2.07825162750359E-3</v>
      </c>
      <c r="I419" s="7">
        <v>1.0890856841240983</v>
      </c>
      <c r="J419" s="7">
        <v>1.4897108481222067E-2</v>
      </c>
      <c r="K419" s="8">
        <v>0.13539999999999999</v>
      </c>
      <c r="L419" s="8">
        <v>0.1384</v>
      </c>
      <c r="M419" s="8">
        <v>8.2900000000000001E-2</v>
      </c>
      <c r="N419" s="7">
        <v>3.0000000000000027E-3</v>
      </c>
      <c r="O419" s="7">
        <v>1.7100000000000004E-2</v>
      </c>
      <c r="P419" s="7">
        <v>-3.0800000000000001E-2</v>
      </c>
      <c r="Q419" s="7">
        <v>2.1459227467810482E-3</v>
      </c>
      <c r="R419" s="7">
        <v>5.2115000000000002E-2</v>
      </c>
      <c r="S419" s="7">
        <v>1.21E-2</v>
      </c>
    </row>
    <row r="420" spans="1:19" x14ac:dyDescent="0.3">
      <c r="A420" s="3">
        <v>198111</v>
      </c>
      <c r="B420" s="6">
        <f t="shared" si="12"/>
        <v>3.2250606818484566E-2</v>
      </c>
      <c r="C420" s="4">
        <f t="shared" si="13"/>
        <v>3.3126999999999997E-2</v>
      </c>
      <c r="D420" s="5">
        <v>5.2183062920459045E-2</v>
      </c>
      <c r="E420" s="5">
        <v>5.4092460415128392E-2</v>
      </c>
      <c r="F420" s="7">
        <v>0.12132963988919668</v>
      </c>
      <c r="G420" s="7">
        <v>0.43009328114807566</v>
      </c>
      <c r="H420" s="7">
        <v>1.5040033080940642E-3</v>
      </c>
      <c r="I420" s="7">
        <v>1.0444554433170601</v>
      </c>
      <c r="J420" s="7">
        <v>1.5672829790261047E-2</v>
      </c>
      <c r="K420" s="8">
        <v>0.10859999999999999</v>
      </c>
      <c r="L420" s="8">
        <v>0.122</v>
      </c>
      <c r="M420" s="8">
        <v>0.14099999999999999</v>
      </c>
      <c r="N420" s="7">
        <v>1.3400000000000009E-2</v>
      </c>
      <c r="O420" s="7">
        <v>2.1700000000000025E-2</v>
      </c>
      <c r="P420" s="7">
        <v>-1.4299999999999979E-2</v>
      </c>
      <c r="Q420" s="7">
        <v>3.2119914346895317E-3</v>
      </c>
      <c r="R420" s="7">
        <v>4.3826999999999998E-2</v>
      </c>
      <c r="S420" s="7">
        <v>1.0700000000000001E-2</v>
      </c>
    </row>
    <row r="421" spans="1:19" x14ac:dyDescent="0.3">
      <c r="A421" s="3">
        <v>198112</v>
      </c>
      <c r="B421" s="6">
        <f t="shared" si="12"/>
        <v>-3.6094208917816221E-2</v>
      </c>
      <c r="C421" s="4">
        <f t="shared" si="13"/>
        <v>-3.5758999999999999E-2</v>
      </c>
      <c r="D421" s="5">
        <v>5.4100367197062425E-2</v>
      </c>
      <c r="E421" s="5">
        <v>5.2473288484368816E-2</v>
      </c>
      <c r="F421" s="7">
        <v>0.12533659730722155</v>
      </c>
      <c r="G421" s="7">
        <v>0.431640625</v>
      </c>
      <c r="H421" s="7">
        <v>9.0579754614093799E-4</v>
      </c>
      <c r="I421" s="7">
        <v>1.0611428571428572</v>
      </c>
      <c r="J421" s="7">
        <v>1.1909648482442949E-2</v>
      </c>
      <c r="K421" s="8">
        <v>0.1085</v>
      </c>
      <c r="L421" s="8">
        <v>0.13339999999999999</v>
      </c>
      <c r="M421" s="8">
        <v>-7.1300000000000002E-2</v>
      </c>
      <c r="N421" s="7">
        <v>2.4899999999999992E-2</v>
      </c>
      <c r="O421" s="7">
        <v>2.3199999999999998E-2</v>
      </c>
      <c r="P421" s="7">
        <v>1.3299999999999999E-2</v>
      </c>
      <c r="Q421" s="7">
        <v>3.2017075773744796E-3</v>
      </c>
      <c r="R421" s="7">
        <v>-2.7059E-2</v>
      </c>
      <c r="S421" s="7">
        <v>8.6999999999999994E-3</v>
      </c>
    </row>
    <row r="422" spans="1:19" x14ac:dyDescent="0.3">
      <c r="A422" s="3">
        <v>198201</v>
      </c>
      <c r="B422" s="6">
        <f t="shared" si="12"/>
        <v>-2.3454465720177477E-2</v>
      </c>
      <c r="C422" s="4">
        <f t="shared" si="13"/>
        <v>-2.3366999999999999E-2</v>
      </c>
      <c r="D422" s="5">
        <v>5.5315614617940198E-2</v>
      </c>
      <c r="E422" s="5">
        <v>5.4345165238678092E-2</v>
      </c>
      <c r="F422" s="7">
        <v>0.12605232558139534</v>
      </c>
      <c r="G422" s="7">
        <v>0.43883057581687718</v>
      </c>
      <c r="H422" s="7">
        <v>2.5219329309988754E-3</v>
      </c>
      <c r="I422" s="7">
        <v>1.0658936976236941</v>
      </c>
      <c r="J422" s="7">
        <v>1.0700480469359012E-2</v>
      </c>
      <c r="K422" s="8">
        <v>0.12279999999999999</v>
      </c>
      <c r="L422" s="8">
        <v>0.14149999999999999</v>
      </c>
      <c r="M422" s="8">
        <v>4.5999999999999999E-3</v>
      </c>
      <c r="N422" s="7">
        <v>1.8699999999999994E-2</v>
      </c>
      <c r="O422" s="7">
        <v>1.9200000000000023E-2</v>
      </c>
      <c r="P422" s="7">
        <v>-1.7500000000000002E-2</v>
      </c>
      <c r="Q422" s="7">
        <v>3.1914893617019935E-3</v>
      </c>
      <c r="R422" s="7">
        <v>-1.5367E-2</v>
      </c>
      <c r="S422" s="7">
        <v>8.0000000000000002E-3</v>
      </c>
    </row>
    <row r="423" spans="1:19" x14ac:dyDescent="0.3">
      <c r="A423" s="3">
        <v>198202</v>
      </c>
      <c r="B423" s="6">
        <f t="shared" si="12"/>
        <v>-6.0915550477694445E-2</v>
      </c>
      <c r="C423" s="4">
        <f t="shared" si="13"/>
        <v>-5.9641E-2</v>
      </c>
      <c r="D423" s="5">
        <v>5.9145964105737782E-2</v>
      </c>
      <c r="E423" s="5">
        <v>5.5564784053156145E-2</v>
      </c>
      <c r="F423" s="7">
        <v>0.13255503492175758</v>
      </c>
      <c r="G423" s="7">
        <v>0.44619930235505195</v>
      </c>
      <c r="H423" s="7">
        <v>1.9182314667197345E-3</v>
      </c>
      <c r="I423" s="7">
        <v>1.12628731546962</v>
      </c>
      <c r="J423" s="7">
        <v>1.0506097392072223E-2</v>
      </c>
      <c r="K423" s="8">
        <v>0.1348</v>
      </c>
      <c r="L423" s="8">
        <v>0.14019999999999999</v>
      </c>
      <c r="M423" s="8">
        <v>1.8200000000000001E-2</v>
      </c>
      <c r="N423" s="7">
        <v>5.3999999999999881E-3</v>
      </c>
      <c r="O423" s="7">
        <v>1.9100000000000006E-2</v>
      </c>
      <c r="P423" s="7">
        <v>1.2999999999999998E-2</v>
      </c>
      <c r="Q423" s="7">
        <v>3.1813361611876534E-3</v>
      </c>
      <c r="R423" s="7">
        <v>-5.0441E-2</v>
      </c>
      <c r="S423" s="7">
        <v>9.1999999999999998E-3</v>
      </c>
    </row>
    <row r="424" spans="1:19" x14ac:dyDescent="0.3">
      <c r="A424" s="3">
        <v>198203</v>
      </c>
      <c r="B424" s="6">
        <f t="shared" si="12"/>
        <v>-1.6580551036258474E-2</v>
      </c>
      <c r="C424" s="4">
        <f t="shared" si="13"/>
        <v>-1.6605000000000002E-2</v>
      </c>
      <c r="D424" s="5">
        <v>6.0021436227224008E-2</v>
      </c>
      <c r="E424" s="5">
        <v>5.941119264432853E-2</v>
      </c>
      <c r="F424" s="7">
        <v>0.1322793854948196</v>
      </c>
      <c r="G424" s="7">
        <v>0.45374746792707626</v>
      </c>
      <c r="H424" s="7">
        <v>1.7952261174560232E-3</v>
      </c>
      <c r="I424" s="7">
        <v>1.1857505742795678</v>
      </c>
      <c r="J424" s="7">
        <v>5.5484290189296371E-3</v>
      </c>
      <c r="K424" s="8">
        <v>0.1268</v>
      </c>
      <c r="L424" s="8">
        <v>0.13869999999999999</v>
      </c>
      <c r="M424" s="8">
        <v>2.3099999999999999E-2</v>
      </c>
      <c r="N424" s="7">
        <v>1.1899999999999994E-2</v>
      </c>
      <c r="O424" s="7">
        <v>2.2400000000000003E-2</v>
      </c>
      <c r="P424" s="7">
        <v>7.4999999999999997E-3</v>
      </c>
      <c r="Q424" s="7">
        <v>-1.0570824524311906E-3</v>
      </c>
      <c r="R424" s="7">
        <v>-6.8050000000000003E-3</v>
      </c>
      <c r="S424" s="7">
        <v>9.7999999999999997E-3</v>
      </c>
    </row>
    <row r="425" spans="1:19" x14ac:dyDescent="0.3">
      <c r="A425" s="3">
        <v>198204</v>
      </c>
      <c r="B425" s="6">
        <f t="shared" si="12"/>
        <v>2.9473356321798989E-2</v>
      </c>
      <c r="C425" s="4">
        <f t="shared" si="13"/>
        <v>3.0249999999999999E-2</v>
      </c>
      <c r="D425" s="5">
        <v>5.7969769838543454E-2</v>
      </c>
      <c r="E425" s="5">
        <v>6.0289389067524117E-2</v>
      </c>
      <c r="F425" s="7">
        <v>0.12535812435589144</v>
      </c>
      <c r="G425" s="7">
        <v>0.46243328971616871</v>
      </c>
      <c r="H425" s="7">
        <v>1.2468205217251594E-3</v>
      </c>
      <c r="I425" s="7">
        <v>1.1499834975717855</v>
      </c>
      <c r="J425" s="7">
        <v>2.9236830844697505E-3</v>
      </c>
      <c r="K425" s="8">
        <v>0.127</v>
      </c>
      <c r="L425" s="8">
        <v>0.1348</v>
      </c>
      <c r="M425" s="8">
        <v>3.73E-2</v>
      </c>
      <c r="N425" s="7">
        <v>7.8000000000000014E-3</v>
      </c>
      <c r="O425" s="7">
        <v>2.3199999999999998E-2</v>
      </c>
      <c r="P425" s="7">
        <v>-3.5000000000000031E-3</v>
      </c>
      <c r="Q425" s="7">
        <v>4.2328042328043658E-3</v>
      </c>
      <c r="R425" s="7">
        <v>4.1549999999999997E-2</v>
      </c>
      <c r="S425" s="7">
        <v>1.1299999999999999E-2</v>
      </c>
    </row>
    <row r="426" spans="1:19" x14ac:dyDescent="0.3">
      <c r="A426" s="3">
        <v>198205</v>
      </c>
      <c r="B426" s="6">
        <f t="shared" si="12"/>
        <v>-4.0493242245528374E-2</v>
      </c>
      <c r="C426" s="4">
        <f t="shared" si="13"/>
        <v>-4.0105000000000002E-2</v>
      </c>
      <c r="D426" s="5">
        <v>6.0600643546657139E-2</v>
      </c>
      <c r="E426" s="5">
        <v>5.82274132600481E-2</v>
      </c>
      <c r="F426" s="7">
        <v>0.12856006435466572</v>
      </c>
      <c r="G426" s="7">
        <v>0.47138000319815343</v>
      </c>
      <c r="H426" s="7">
        <v>8.5481558307743896E-4</v>
      </c>
      <c r="I426" s="7">
        <v>1.1904238963320888</v>
      </c>
      <c r="J426" s="7">
        <v>-9.5818209142775352E-4</v>
      </c>
      <c r="K426" s="8">
        <v>0.12089999999999999</v>
      </c>
      <c r="L426" s="8">
        <v>0.1358</v>
      </c>
      <c r="M426" s="8">
        <v>3.3999999999999998E-3</v>
      </c>
      <c r="N426" s="7">
        <v>1.490000000000001E-2</v>
      </c>
      <c r="O426" s="7">
        <v>2.3799999999999988E-2</v>
      </c>
      <c r="P426" s="7">
        <v>2.1100000000000001E-2</v>
      </c>
      <c r="Q426" s="7">
        <v>9.4836670179134774E-3</v>
      </c>
      <c r="R426" s="7">
        <v>-2.9505E-2</v>
      </c>
      <c r="S426" s="7">
        <v>1.06E-2</v>
      </c>
    </row>
    <row r="427" spans="1:19" x14ac:dyDescent="0.3">
      <c r="A427" s="3">
        <v>198206</v>
      </c>
      <c r="B427" s="6">
        <f t="shared" si="12"/>
        <v>-2.545902645610388E-2</v>
      </c>
      <c r="C427" s="4">
        <f t="shared" si="13"/>
        <v>-2.5378999999999999E-2</v>
      </c>
      <c r="D427" s="5">
        <v>6.2129367758416203E-2</v>
      </c>
      <c r="E427" s="5">
        <v>6.0868787987129067E-2</v>
      </c>
      <c r="F427" s="7">
        <v>0.12927652586442842</v>
      </c>
      <c r="G427" s="7">
        <v>0.4805928016937191</v>
      </c>
      <c r="H427" s="7">
        <v>1.490292574498379E-3</v>
      </c>
      <c r="I427" s="7">
        <v>1.2015814171172392</v>
      </c>
      <c r="J427" s="7">
        <v>1.2130358734572407E-3</v>
      </c>
      <c r="K427" s="8">
        <v>0.12470000000000001</v>
      </c>
      <c r="L427" s="8">
        <v>0.14119999999999999</v>
      </c>
      <c r="M427" s="8">
        <v>-2.23E-2</v>
      </c>
      <c r="N427" s="7">
        <v>1.6499999999999987E-2</v>
      </c>
      <c r="O427" s="7">
        <v>2.1100000000000008E-2</v>
      </c>
      <c r="P427" s="7">
        <v>-2.4500000000000001E-2</v>
      </c>
      <c r="Q427" s="7">
        <v>1.2526096033403045E-2</v>
      </c>
      <c r="R427" s="7">
        <v>-1.5779000000000001E-2</v>
      </c>
      <c r="S427" s="7">
        <v>9.5999999999999992E-3</v>
      </c>
    </row>
    <row r="428" spans="1:19" x14ac:dyDescent="0.3">
      <c r="A428" s="3">
        <v>198207</v>
      </c>
      <c r="B428" s="6">
        <f t="shared" si="12"/>
        <v>-3.0851047023269684E-2</v>
      </c>
      <c r="C428" s="4">
        <f t="shared" si="13"/>
        <v>-3.0699000000000004E-2</v>
      </c>
      <c r="D428" s="5">
        <v>6.3715846484265579E-2</v>
      </c>
      <c r="E428" s="5">
        <v>6.225098074993158E-2</v>
      </c>
      <c r="F428" s="7">
        <v>0.13042020730226911</v>
      </c>
      <c r="G428" s="7">
        <v>0.4885427481079998</v>
      </c>
      <c r="H428" s="7">
        <v>9.5858311094840264E-4</v>
      </c>
      <c r="I428" s="7">
        <v>1.2065298046005442</v>
      </c>
      <c r="J428" s="7">
        <v>-1.1551892268046463E-2</v>
      </c>
      <c r="K428" s="8">
        <v>0.11349999999999999</v>
      </c>
      <c r="L428" s="8">
        <v>0.13519999999999999</v>
      </c>
      <c r="M428" s="8">
        <v>5.0099999999999999E-2</v>
      </c>
      <c r="N428" s="7">
        <v>2.1699999999999997E-2</v>
      </c>
      <c r="O428" s="7">
        <v>2.1900000000000003E-2</v>
      </c>
      <c r="P428" s="7">
        <v>3.9000000000000007E-3</v>
      </c>
      <c r="Q428" s="7">
        <v>5.1546391752577136E-3</v>
      </c>
      <c r="R428" s="7">
        <v>-2.0199000000000002E-2</v>
      </c>
      <c r="S428" s="7">
        <v>1.0500000000000001E-2</v>
      </c>
    </row>
    <row r="429" spans="1:19" x14ac:dyDescent="0.3">
      <c r="A429" s="3">
        <v>198208</v>
      </c>
      <c r="B429" s="6">
        <f t="shared" si="12"/>
        <v>0.11234460516070477</v>
      </c>
      <c r="C429" s="4">
        <f t="shared" si="13"/>
        <v>0.11980199999999999</v>
      </c>
      <c r="D429" s="5">
        <v>5.7205840515438033E-2</v>
      </c>
      <c r="E429" s="5">
        <v>6.3840414604538237E-2</v>
      </c>
      <c r="F429" s="7">
        <v>0.11516442138733159</v>
      </c>
      <c r="G429" s="7">
        <v>0.49673188842792065</v>
      </c>
      <c r="H429" s="7">
        <v>6.415933083300354E-3</v>
      </c>
      <c r="I429" s="7">
        <v>1.0824244710476973</v>
      </c>
      <c r="J429" s="7">
        <v>-2.8576349855145068E-3</v>
      </c>
      <c r="K429" s="8">
        <v>8.6800000000000002E-2</v>
      </c>
      <c r="L429" s="8">
        <v>0.12540000000000001</v>
      </c>
      <c r="M429" s="8">
        <v>7.8100000000000003E-2</v>
      </c>
      <c r="N429" s="7">
        <v>3.8600000000000009E-2</v>
      </c>
      <c r="O429" s="7">
        <v>2.6100000000000012E-2</v>
      </c>
      <c r="P429" s="7">
        <v>5.5999999999999939E-3</v>
      </c>
      <c r="Q429" s="7">
        <v>2.0512820512821328E-3</v>
      </c>
      <c r="R429" s="7">
        <v>0.12740199999999999</v>
      </c>
      <c r="S429" s="7">
        <v>7.6E-3</v>
      </c>
    </row>
    <row r="430" spans="1:19" x14ac:dyDescent="0.3">
      <c r="A430" s="3">
        <v>198209</v>
      </c>
      <c r="B430" s="6">
        <f t="shared" si="12"/>
        <v>5.3542603687292542E-3</v>
      </c>
      <c r="C430" s="4">
        <f t="shared" si="13"/>
        <v>5.3959999999999998E-3</v>
      </c>
      <c r="D430" s="5">
        <v>5.6884238498588272E-2</v>
      </c>
      <c r="E430" s="5">
        <v>5.7317379298803442E-2</v>
      </c>
      <c r="F430" s="7">
        <v>0.11260587942202292</v>
      </c>
      <c r="G430" s="7">
        <v>0.50516224188790559</v>
      </c>
      <c r="H430" s="7">
        <v>2.1312943337496964E-3</v>
      </c>
      <c r="I430" s="7">
        <v>1.0885355648535564</v>
      </c>
      <c r="J430" s="7">
        <v>5.5070779058758108E-4</v>
      </c>
      <c r="K430" s="8">
        <v>7.9199999999999993E-2</v>
      </c>
      <c r="L430" s="8">
        <v>0.1183</v>
      </c>
      <c r="M430" s="8">
        <v>6.1800000000000001E-2</v>
      </c>
      <c r="N430" s="7">
        <v>3.910000000000001E-2</v>
      </c>
      <c r="O430" s="7">
        <v>2.6900000000000007E-2</v>
      </c>
      <c r="P430" s="7">
        <v>5.0000000000000044E-4</v>
      </c>
      <c r="Q430" s="7">
        <v>2.0470829068577334E-3</v>
      </c>
      <c r="R430" s="7">
        <v>1.0496E-2</v>
      </c>
      <c r="S430" s="7">
        <v>5.1000000000000004E-3</v>
      </c>
    </row>
    <row r="431" spans="1:19" x14ac:dyDescent="0.3">
      <c r="A431" s="3">
        <v>198210</v>
      </c>
      <c r="B431" s="6">
        <f t="shared" si="12"/>
        <v>0.10195149053289915</v>
      </c>
      <c r="C431" s="4">
        <f t="shared" si="13"/>
        <v>0.107963</v>
      </c>
      <c r="D431" s="5">
        <v>5.1280158552090345E-2</v>
      </c>
      <c r="E431" s="5">
        <v>5.6939627968775955E-2</v>
      </c>
      <c r="F431" s="7">
        <v>9.9119736743699047E-2</v>
      </c>
      <c r="G431" s="7">
        <v>0.5173556774539172</v>
      </c>
      <c r="H431" s="7">
        <v>6.1259079324881352E-3</v>
      </c>
      <c r="I431" s="7">
        <v>0.98374541201145482</v>
      </c>
      <c r="J431" s="7">
        <v>6.5578315223907592E-3</v>
      </c>
      <c r="K431" s="8">
        <v>7.7100000000000002E-2</v>
      </c>
      <c r="L431" s="8">
        <v>0.11119999999999999</v>
      </c>
      <c r="M431" s="8">
        <v>6.3399999999999998E-2</v>
      </c>
      <c r="N431" s="7">
        <v>3.4099999999999991E-2</v>
      </c>
      <c r="O431" s="7">
        <v>2.6100000000000026E-2</v>
      </c>
      <c r="P431" s="7">
        <v>1.2499999999999997E-2</v>
      </c>
      <c r="Q431" s="7">
        <v>3.0643513789581078E-3</v>
      </c>
      <c r="R431" s="7">
        <v>0.11386300000000001</v>
      </c>
      <c r="S431" s="7">
        <v>5.8999999999999999E-3</v>
      </c>
    </row>
    <row r="432" spans="1:19" x14ac:dyDescent="0.3">
      <c r="A432" s="3">
        <v>198211</v>
      </c>
      <c r="B432" s="6">
        <f t="shared" si="12"/>
        <v>3.8457918381681624E-2</v>
      </c>
      <c r="C432" s="4">
        <f t="shared" si="13"/>
        <v>3.9454000000000003E-2</v>
      </c>
      <c r="D432" s="5">
        <v>4.9540421538905734E-2</v>
      </c>
      <c r="E432" s="5">
        <v>5.1329967840849602E-2</v>
      </c>
      <c r="F432" s="7">
        <v>9.345098888407681E-2</v>
      </c>
      <c r="G432" s="7">
        <v>0.53012196158094349</v>
      </c>
      <c r="H432" s="7">
        <v>5.4916495382052984E-3</v>
      </c>
      <c r="I432" s="7">
        <v>0.93872681086906329</v>
      </c>
      <c r="J432" s="7">
        <v>9.5815622953662695E-4</v>
      </c>
      <c r="K432" s="8">
        <v>8.0700000000000008E-2</v>
      </c>
      <c r="L432" s="8">
        <v>0.1125</v>
      </c>
      <c r="M432" s="8">
        <v>-2.0000000000000001E-4</v>
      </c>
      <c r="N432" s="7">
        <v>3.1799999999999995E-2</v>
      </c>
      <c r="O432" s="7">
        <v>2.6200000000000015E-2</v>
      </c>
      <c r="P432" s="7">
        <v>2.0299999999999999E-2</v>
      </c>
      <c r="Q432" s="7">
        <v>-2.0366598778004397E-3</v>
      </c>
      <c r="R432" s="7">
        <v>4.5754000000000003E-2</v>
      </c>
      <c r="S432" s="7">
        <v>6.3E-3</v>
      </c>
    </row>
    <row r="433" spans="1:19" x14ac:dyDescent="0.3">
      <c r="A433" s="3">
        <v>198212</v>
      </c>
      <c r="B433" s="6">
        <f t="shared" si="12"/>
        <v>1.0017207262637932E-2</v>
      </c>
      <c r="C433" s="4">
        <f t="shared" si="13"/>
        <v>1.0134999999999998E-2</v>
      </c>
      <c r="D433" s="5">
        <v>4.8848122866894203E-2</v>
      </c>
      <c r="E433" s="5">
        <v>4.958856647899524E-2</v>
      </c>
      <c r="F433" s="7">
        <v>8.9874857792946544E-2</v>
      </c>
      <c r="G433" s="7">
        <v>0.54351265822784811</v>
      </c>
      <c r="H433" s="7">
        <v>2.4902382986414116E-3</v>
      </c>
      <c r="I433" s="7">
        <v>0.93221472662296712</v>
      </c>
      <c r="J433" s="7">
        <v>2.990051314931505E-3</v>
      </c>
      <c r="K433" s="8">
        <v>7.9399999999999998E-2</v>
      </c>
      <c r="L433" s="8">
        <v>0.1095</v>
      </c>
      <c r="M433" s="8">
        <v>3.1199999999999999E-2</v>
      </c>
      <c r="N433" s="7">
        <v>3.0100000000000002E-2</v>
      </c>
      <c r="O433" s="7">
        <v>2.3099999999999996E-2</v>
      </c>
      <c r="P433" s="7">
        <v>-2.0399999999999998E-2</v>
      </c>
      <c r="Q433" s="7">
        <v>-4.0816326530612734E-3</v>
      </c>
      <c r="R433" s="7">
        <v>1.6834999999999999E-2</v>
      </c>
      <c r="S433" s="7">
        <v>6.7000000000000002E-3</v>
      </c>
    </row>
    <row r="434" spans="1:19" x14ac:dyDescent="0.3">
      <c r="A434" s="3">
        <v>198301</v>
      </c>
      <c r="B434" s="6">
        <f t="shared" si="12"/>
        <v>2.7808174502420718E-2</v>
      </c>
      <c r="C434" s="4">
        <f t="shared" si="13"/>
        <v>2.8392999999999998E-2</v>
      </c>
      <c r="D434" s="5">
        <v>4.7373227804542326E-2</v>
      </c>
      <c r="E434" s="5">
        <v>4.8942903868031858E-2</v>
      </c>
      <c r="F434" s="7">
        <v>8.6487955953200274E-2</v>
      </c>
      <c r="G434" s="7">
        <v>0.54774363993729458</v>
      </c>
      <c r="H434" s="7">
        <v>3.2808573587490499E-3</v>
      </c>
      <c r="I434" s="7">
        <v>0.90694431532955289</v>
      </c>
      <c r="J434" s="7">
        <v>2.1947633051508119E-3</v>
      </c>
      <c r="K434" s="8">
        <v>7.8600000000000003E-2</v>
      </c>
      <c r="L434" s="8">
        <v>0.1113</v>
      </c>
      <c r="M434" s="8">
        <v>-3.09E-2</v>
      </c>
      <c r="N434" s="7">
        <v>3.2699999999999993E-2</v>
      </c>
      <c r="O434" s="7">
        <v>2.1500000000000005E-2</v>
      </c>
      <c r="P434" s="7">
        <v>2.1499999999999998E-2</v>
      </c>
      <c r="Q434" s="7">
        <v>2.049180327868827E-3</v>
      </c>
      <c r="R434" s="7">
        <v>3.5292999999999998E-2</v>
      </c>
      <c r="S434" s="7">
        <v>6.8999999999999999E-3</v>
      </c>
    </row>
    <row r="435" spans="1:19" x14ac:dyDescent="0.3">
      <c r="A435" s="3">
        <v>198302</v>
      </c>
      <c r="B435" s="6">
        <f t="shared" si="12"/>
        <v>1.922661988864633E-2</v>
      </c>
      <c r="C435" s="4">
        <f t="shared" si="13"/>
        <v>1.9532999999999998E-2</v>
      </c>
      <c r="D435" s="5">
        <v>4.6580237741456171E-2</v>
      </c>
      <c r="E435" s="5">
        <v>4.7465037852718509E-2</v>
      </c>
      <c r="F435" s="7">
        <v>8.4379981088747807E-2</v>
      </c>
      <c r="G435" s="7">
        <v>0.55202948780546379</v>
      </c>
      <c r="H435" s="7">
        <v>1.9116417429900839E-3</v>
      </c>
      <c r="I435" s="7">
        <v>0.87684923873379961</v>
      </c>
      <c r="J435" s="7">
        <v>3.5587552202778094E-4</v>
      </c>
      <c r="K435" s="8">
        <v>8.1099999999999992E-2</v>
      </c>
      <c r="L435" s="8">
        <v>0.106</v>
      </c>
      <c r="M435" s="8">
        <v>4.9200000000000001E-2</v>
      </c>
      <c r="N435" s="7">
        <v>2.4900000000000005E-2</v>
      </c>
      <c r="O435" s="7">
        <v>1.9399999999999987E-2</v>
      </c>
      <c r="P435" s="7">
        <v>-6.4000000000000029E-3</v>
      </c>
      <c r="Q435" s="7">
        <v>1.0224948875257045E-3</v>
      </c>
      <c r="R435" s="7">
        <v>2.5732999999999999E-2</v>
      </c>
      <c r="S435" s="7">
        <v>6.1999999999999998E-3</v>
      </c>
    </row>
    <row r="436" spans="1:19" x14ac:dyDescent="0.3">
      <c r="A436" s="3">
        <v>198303</v>
      </c>
      <c r="B436" s="6">
        <f t="shared" si="12"/>
        <v>2.8575191965321933E-2</v>
      </c>
      <c r="C436" s="4">
        <f t="shared" si="13"/>
        <v>2.9170000000000001E-2</v>
      </c>
      <c r="D436" s="5">
        <v>4.5175209205020918E-2</v>
      </c>
      <c r="E436" s="5">
        <v>4.6670268809941913E-2</v>
      </c>
      <c r="F436" s="7">
        <v>8.1197698744769869E-2</v>
      </c>
      <c r="G436" s="7">
        <v>0.55636070853462161</v>
      </c>
      <c r="H436" s="7">
        <v>1.5718209510334202E-3</v>
      </c>
      <c r="I436" s="7">
        <v>0.78006778581099623</v>
      </c>
      <c r="J436" s="7">
        <v>5.9935391051682621E-3</v>
      </c>
      <c r="K436" s="8">
        <v>8.3499999999999991E-2</v>
      </c>
      <c r="L436" s="8">
        <v>0.10829999999999999</v>
      </c>
      <c r="M436" s="8">
        <v>-9.4000000000000004E-3</v>
      </c>
      <c r="N436" s="7">
        <v>2.4800000000000003E-2</v>
      </c>
      <c r="O436" s="7">
        <v>1.8799999999999997E-2</v>
      </c>
      <c r="P436" s="7">
        <v>1.66E-2</v>
      </c>
      <c r="Q436" s="7">
        <v>0</v>
      </c>
      <c r="R436" s="7">
        <v>3.5470000000000002E-2</v>
      </c>
      <c r="S436" s="7">
        <v>6.3E-3</v>
      </c>
    </row>
    <row r="437" spans="1:19" x14ac:dyDescent="0.3">
      <c r="A437" s="3">
        <v>198304</v>
      </c>
      <c r="B437" s="6">
        <f t="shared" si="12"/>
        <v>6.5914361545043529E-2</v>
      </c>
      <c r="C437" s="4">
        <f t="shared" si="13"/>
        <v>6.8618999999999999E-2</v>
      </c>
      <c r="D437" s="5">
        <v>4.2087337306896976E-2</v>
      </c>
      <c r="E437" s="5">
        <v>4.5240585774058574E-2</v>
      </c>
      <c r="F437" s="7">
        <v>7.5883104245225638E-2</v>
      </c>
      <c r="G437" s="7">
        <v>0.55463383747304984</v>
      </c>
      <c r="H437" s="7">
        <v>1.4237504806373855E-3</v>
      </c>
      <c r="I437" s="7">
        <v>0.71888762029032782</v>
      </c>
      <c r="J437" s="7">
        <v>6.6268455515743618E-3</v>
      </c>
      <c r="K437" s="8">
        <v>8.2100000000000006E-2</v>
      </c>
      <c r="L437" s="8">
        <v>0.1051</v>
      </c>
      <c r="M437" s="8">
        <v>3.5000000000000003E-2</v>
      </c>
      <c r="N437" s="7">
        <v>2.2999999999999993E-2</v>
      </c>
      <c r="O437" s="7">
        <v>1.7799999999999996E-2</v>
      </c>
      <c r="P437" s="7">
        <v>1.9799999999999998E-2</v>
      </c>
      <c r="Q437" s="7">
        <v>7.1501532175688443E-3</v>
      </c>
      <c r="R437" s="7">
        <v>7.5718999999999995E-2</v>
      </c>
      <c r="S437" s="7">
        <v>7.0999999999999995E-3</v>
      </c>
    </row>
    <row r="438" spans="1:19" x14ac:dyDescent="0.3">
      <c r="A438" s="3">
        <v>198305</v>
      </c>
      <c r="B438" s="6">
        <f t="shared" si="12"/>
        <v>-1.2579536496220758E-2</v>
      </c>
      <c r="C438" s="4">
        <f t="shared" si="13"/>
        <v>-1.2587000000000001E-2</v>
      </c>
      <c r="D438" s="5">
        <v>4.2675041566598931E-2</v>
      </c>
      <c r="E438" s="5">
        <v>4.2148157158496534E-2</v>
      </c>
      <c r="F438" s="7">
        <v>7.7180245088983315E-2</v>
      </c>
      <c r="G438" s="7">
        <v>0.55292700246543203</v>
      </c>
      <c r="H438" s="7">
        <v>1.0846140337725338E-3</v>
      </c>
      <c r="I438" s="7">
        <v>0.73459557659294317</v>
      </c>
      <c r="J438" s="7">
        <v>1.0428915836832964E-2</v>
      </c>
      <c r="K438" s="8">
        <v>8.1900000000000001E-2</v>
      </c>
      <c r="L438" s="8">
        <v>0.11119999999999999</v>
      </c>
      <c r="M438" s="8">
        <v>-3.8600000000000002E-2</v>
      </c>
      <c r="N438" s="7">
        <v>2.9299999999999993E-2</v>
      </c>
      <c r="O438" s="7">
        <v>1.6299999999999981E-2</v>
      </c>
      <c r="P438" s="7">
        <v>6.2000000000000041E-3</v>
      </c>
      <c r="Q438" s="7">
        <v>6.0851926977687487E-3</v>
      </c>
      <c r="R438" s="7">
        <v>-5.6870000000000002E-3</v>
      </c>
      <c r="S438" s="7">
        <v>6.8999999999999999E-3</v>
      </c>
    </row>
    <row r="439" spans="1:19" x14ac:dyDescent="0.3">
      <c r="A439" s="3">
        <v>198306</v>
      </c>
      <c r="B439" s="6">
        <f t="shared" si="12"/>
        <v>2.9625344471051911E-2</v>
      </c>
      <c r="C439" s="4">
        <f t="shared" si="13"/>
        <v>3.0270000000000002E-2</v>
      </c>
      <c r="D439" s="5">
        <v>4.1282493605377432E-2</v>
      </c>
      <c r="E439" s="5">
        <v>4.2736621713159686E-2</v>
      </c>
      <c r="F439" s="7">
        <v>7.4891440128487294E-2</v>
      </c>
      <c r="G439" s="7">
        <v>0.55123113582208105</v>
      </c>
      <c r="H439" s="7">
        <v>1.3991485619085978E-3</v>
      </c>
      <c r="I439" s="7">
        <v>0.72138204196536715</v>
      </c>
      <c r="J439" s="7">
        <v>1.582655469500989E-2</v>
      </c>
      <c r="K439" s="8">
        <v>8.7899999999999992E-2</v>
      </c>
      <c r="L439" s="8">
        <v>0.1119</v>
      </c>
      <c r="M439" s="8">
        <v>3.8999999999999998E-3</v>
      </c>
      <c r="N439" s="7">
        <v>2.4000000000000007E-2</v>
      </c>
      <c r="O439" s="7">
        <v>1.6299999999999981E-2</v>
      </c>
      <c r="P439" s="7">
        <v>-8.5000000000000006E-3</v>
      </c>
      <c r="Q439" s="7">
        <v>3.0241935483870108E-3</v>
      </c>
      <c r="R439" s="7">
        <v>3.6970000000000003E-2</v>
      </c>
      <c r="S439" s="7">
        <v>6.7000000000000002E-3</v>
      </c>
    </row>
    <row r="440" spans="1:19" x14ac:dyDescent="0.3">
      <c r="A440" s="3">
        <v>198307</v>
      </c>
      <c r="B440" s="6">
        <f t="shared" si="12"/>
        <v>-3.9109065623938705E-2</v>
      </c>
      <c r="C440" s="4">
        <f t="shared" si="13"/>
        <v>-3.8637999999999999E-2</v>
      </c>
      <c r="D440" s="5">
        <v>4.281496062992126E-2</v>
      </c>
      <c r="E440" s="5">
        <v>4.1401463327583127E-2</v>
      </c>
      <c r="F440" s="7">
        <v>7.8904404527559063E-2</v>
      </c>
      <c r="G440" s="7">
        <v>0.54261813248926061</v>
      </c>
      <c r="H440" s="7">
        <v>2.2928245866816188E-3</v>
      </c>
      <c r="I440" s="7">
        <v>0.7350611230633245</v>
      </c>
      <c r="J440" s="7">
        <v>2.5380211197090139E-2</v>
      </c>
      <c r="K440" s="8">
        <v>9.0800000000000006E-2</v>
      </c>
      <c r="L440" s="8">
        <v>0.1198</v>
      </c>
      <c r="M440" s="8">
        <v>-4.8599999999999997E-2</v>
      </c>
      <c r="N440" s="7">
        <v>2.8999999999999998E-2</v>
      </c>
      <c r="O440" s="7">
        <v>1.2400000000000022E-2</v>
      </c>
      <c r="P440" s="7">
        <v>3.0999999999999986E-3</v>
      </c>
      <c r="Q440" s="7">
        <v>4.020100502512669E-3</v>
      </c>
      <c r="R440" s="7">
        <v>-3.1237999999999998E-2</v>
      </c>
      <c r="S440" s="7">
        <v>7.4000000000000003E-3</v>
      </c>
    </row>
    <row r="441" spans="1:19" x14ac:dyDescent="0.3">
      <c r="A441" s="3">
        <v>198308</v>
      </c>
      <c r="B441" s="6">
        <f t="shared" si="12"/>
        <v>8.1682164324380947E-3</v>
      </c>
      <c r="C441" s="4">
        <f t="shared" si="13"/>
        <v>8.2640000000000005E-3</v>
      </c>
      <c r="D441" s="5">
        <v>4.2457420924574212E-2</v>
      </c>
      <c r="E441" s="5">
        <v>4.2937992125984252E-2</v>
      </c>
      <c r="F441" s="7">
        <v>7.9460462287104613E-2</v>
      </c>
      <c r="G441" s="7">
        <v>0.53432134299908907</v>
      </c>
      <c r="H441" s="7">
        <v>1.36904533629939E-3</v>
      </c>
      <c r="I441" s="7">
        <v>0.72482239179055385</v>
      </c>
      <c r="J441" s="7">
        <v>1.9474633933904667E-2</v>
      </c>
      <c r="K441" s="8">
        <v>9.3399999999999997E-2</v>
      </c>
      <c r="L441" s="8">
        <v>0.121</v>
      </c>
      <c r="M441" s="8">
        <v>2E-3</v>
      </c>
      <c r="N441" s="7">
        <v>2.76E-2</v>
      </c>
      <c r="O441" s="7">
        <v>1.1300000000000004E-2</v>
      </c>
      <c r="P441" s="7">
        <v>3.1000000000000003E-3</v>
      </c>
      <c r="Q441" s="7">
        <v>3.0030030030030463E-3</v>
      </c>
      <c r="R441" s="7">
        <v>1.5864E-2</v>
      </c>
      <c r="S441" s="7">
        <v>7.6E-3</v>
      </c>
    </row>
    <row r="442" spans="1:19" x14ac:dyDescent="0.3">
      <c r="A442" s="3">
        <v>198309</v>
      </c>
      <c r="B442" s="6">
        <f t="shared" si="12"/>
        <v>6.4351846075695138E-3</v>
      </c>
      <c r="C442" s="4">
        <f t="shared" si="13"/>
        <v>6.5049999999999995E-3</v>
      </c>
      <c r="D442" s="5">
        <v>4.2150900222797619E-2</v>
      </c>
      <c r="E442" s="5">
        <v>4.2579075425790751E-2</v>
      </c>
      <c r="F442" s="7">
        <v>8.0086710423315471E-2</v>
      </c>
      <c r="G442" s="7">
        <v>0.52631578947368418</v>
      </c>
      <c r="H442" s="7">
        <v>1.0572930552615913E-3</v>
      </c>
      <c r="I442" s="7">
        <v>0.71484758297989659</v>
      </c>
      <c r="J442" s="7">
        <v>2.317839540459575E-2</v>
      </c>
      <c r="K442" s="8">
        <v>0.09</v>
      </c>
      <c r="L442" s="8">
        <v>0.1157</v>
      </c>
      <c r="M442" s="8">
        <v>5.0500000000000003E-2</v>
      </c>
      <c r="N442" s="7">
        <v>2.5700000000000001E-2</v>
      </c>
      <c r="O442" s="7">
        <v>1.1800000000000019E-2</v>
      </c>
      <c r="P442" s="7">
        <v>-1.1300000000000004E-2</v>
      </c>
      <c r="Q442" s="7">
        <v>4.9900199600798611E-3</v>
      </c>
      <c r="R442" s="7">
        <v>1.4104999999999999E-2</v>
      </c>
      <c r="S442" s="7">
        <v>7.6E-3</v>
      </c>
    </row>
    <row r="443" spans="1:19" x14ac:dyDescent="0.3">
      <c r="A443" s="3">
        <v>198310</v>
      </c>
      <c r="B443" s="6">
        <f t="shared" si="12"/>
        <v>-2.0765933524452492E-2</v>
      </c>
      <c r="C443" s="4">
        <f t="shared" si="13"/>
        <v>-2.0708000000000001E-2</v>
      </c>
      <c r="D443" s="5">
        <v>4.2983797003974318E-2</v>
      </c>
      <c r="E443" s="5">
        <v>4.233154693803818E-2</v>
      </c>
      <c r="F443" s="7">
        <v>8.2808315499847143E-2</v>
      </c>
      <c r="G443" s="7">
        <v>0.51907585300480685</v>
      </c>
      <c r="H443" s="7">
        <v>1.1153554700984044E-3</v>
      </c>
      <c r="I443" s="7">
        <v>0.71947437153117855</v>
      </c>
      <c r="J443" s="7">
        <v>2.4744376372381114E-2</v>
      </c>
      <c r="K443" s="8">
        <v>8.6400000000000005E-2</v>
      </c>
      <c r="L443" s="8">
        <v>0.1188</v>
      </c>
      <c r="M443" s="8">
        <v>-1.32E-2</v>
      </c>
      <c r="N443" s="7">
        <v>3.2399999999999998E-2</v>
      </c>
      <c r="O443" s="7">
        <v>1.21E-2</v>
      </c>
      <c r="P443" s="7">
        <v>1.0699999999999999E-2</v>
      </c>
      <c r="Q443" s="7">
        <v>2.9791459781529639E-3</v>
      </c>
      <c r="R443" s="7">
        <v>-1.3108E-2</v>
      </c>
      <c r="S443" s="7">
        <v>7.6E-3</v>
      </c>
    </row>
    <row r="444" spans="1:19" x14ac:dyDescent="0.3">
      <c r="A444" s="3">
        <v>198311</v>
      </c>
      <c r="B444" s="6">
        <f t="shared" si="12"/>
        <v>1.6590510946086955E-2</v>
      </c>
      <c r="C444" s="4">
        <f t="shared" si="13"/>
        <v>1.6846E-2</v>
      </c>
      <c r="D444" s="5">
        <v>4.242788461538461E-2</v>
      </c>
      <c r="E444" s="5">
        <v>4.3167227147661261E-2</v>
      </c>
      <c r="F444" s="7">
        <v>8.2852764423076916E-2</v>
      </c>
      <c r="G444" s="7">
        <v>0.51208773673177765</v>
      </c>
      <c r="H444" s="7">
        <v>8.3630311213823971E-4</v>
      </c>
      <c r="I444" s="7">
        <v>0.69081989310512371</v>
      </c>
      <c r="J444" s="7">
        <v>2.6636828011107165E-2</v>
      </c>
      <c r="K444" s="8">
        <v>8.7599999999999997E-2</v>
      </c>
      <c r="L444" s="8">
        <v>0.1176</v>
      </c>
      <c r="M444" s="8">
        <v>1.83E-2</v>
      </c>
      <c r="N444" s="7">
        <v>0.03</v>
      </c>
      <c r="O444" s="7">
        <v>1.1999999999999997E-2</v>
      </c>
      <c r="P444" s="7">
        <v>-4.0999999999999995E-3</v>
      </c>
      <c r="Q444" s="7">
        <v>1.980198019801982E-3</v>
      </c>
      <c r="R444" s="7">
        <v>2.3845999999999999E-2</v>
      </c>
      <c r="S444" s="7">
        <v>6.9999999999999993E-3</v>
      </c>
    </row>
    <row r="445" spans="1:19" x14ac:dyDescent="0.3">
      <c r="A445" s="3">
        <v>198312</v>
      </c>
      <c r="B445" s="6">
        <f t="shared" si="12"/>
        <v>-1.3039073078087609E-2</v>
      </c>
      <c r="C445" s="4">
        <f t="shared" si="13"/>
        <v>-1.3049E-2</v>
      </c>
      <c r="D445" s="5">
        <v>4.2987934275147029E-2</v>
      </c>
      <c r="E445" s="5">
        <v>4.2608173076923071E-2</v>
      </c>
      <c r="F445" s="7">
        <v>8.5066391802582908E-2</v>
      </c>
      <c r="G445" s="7">
        <v>0.50534568781183176</v>
      </c>
      <c r="H445" s="7">
        <v>5.2811439443478604E-4</v>
      </c>
      <c r="I445" s="7">
        <v>0.70035911777791893</v>
      </c>
      <c r="J445" s="7">
        <v>2.7056895354317316E-2</v>
      </c>
      <c r="K445" s="8">
        <v>0.09</v>
      </c>
      <c r="L445" s="8">
        <v>0.1197</v>
      </c>
      <c r="M445" s="8">
        <v>-5.8999999999999999E-3</v>
      </c>
      <c r="N445" s="7">
        <v>2.9700000000000004E-2</v>
      </c>
      <c r="O445" s="7">
        <v>1.1800000000000005E-2</v>
      </c>
      <c r="P445" s="7">
        <v>2.5999999999999999E-3</v>
      </c>
      <c r="Q445" s="7">
        <v>9.8814229249000185E-4</v>
      </c>
      <c r="R445" s="7">
        <v>-5.7489999999999998E-3</v>
      </c>
      <c r="S445" s="7">
        <v>7.3000000000000001E-3</v>
      </c>
    </row>
    <row r="446" spans="1:19" x14ac:dyDescent="0.3">
      <c r="A446" s="3">
        <v>198401</v>
      </c>
      <c r="B446" s="6">
        <f t="shared" si="12"/>
        <v>-1.1476882498811732E-2</v>
      </c>
      <c r="C446" s="4">
        <f t="shared" si="13"/>
        <v>-1.1498E-2</v>
      </c>
      <c r="D446" s="5">
        <v>4.3571384860167678E-2</v>
      </c>
      <c r="E446" s="5">
        <v>4.3169829624689258E-2</v>
      </c>
      <c r="F446" s="7">
        <v>8.8366685025396241E-2</v>
      </c>
      <c r="G446" s="7">
        <v>0.49307479224376732</v>
      </c>
      <c r="H446" s="7">
        <v>7.9460614138287459E-4</v>
      </c>
      <c r="I446" s="7">
        <v>0.72219764374313855</v>
      </c>
      <c r="J446" s="7">
        <v>3.0736004382714836E-2</v>
      </c>
      <c r="K446" s="8">
        <v>8.900000000000001E-2</v>
      </c>
      <c r="L446" s="8">
        <v>0.11799999999999999</v>
      </c>
      <c r="M446" s="8">
        <v>2.4400000000000002E-2</v>
      </c>
      <c r="N446" s="7">
        <v>2.8999999999999984E-2</v>
      </c>
      <c r="O446" s="7">
        <v>1.4500000000000013E-2</v>
      </c>
      <c r="P446" s="7">
        <v>2.5999999999999981E-3</v>
      </c>
      <c r="Q446" s="7">
        <v>5.9230009871669154E-3</v>
      </c>
      <c r="R446" s="7">
        <v>-3.898E-3</v>
      </c>
      <c r="S446" s="7">
        <v>7.6E-3</v>
      </c>
    </row>
    <row r="447" spans="1:19" x14ac:dyDescent="0.3">
      <c r="A447" s="3">
        <v>198402</v>
      </c>
      <c r="B447" s="6">
        <f t="shared" si="12"/>
        <v>-4.170155574836959E-2</v>
      </c>
      <c r="C447" s="4">
        <f t="shared" si="13"/>
        <v>-4.1134000000000004E-2</v>
      </c>
      <c r="D447" s="5">
        <v>4.5524003565516363E-2</v>
      </c>
      <c r="E447" s="5">
        <v>4.3754972155926816E-2</v>
      </c>
      <c r="F447" s="7">
        <v>9.4549853559149369E-2</v>
      </c>
      <c r="G447" s="7">
        <v>0.48148148148148151</v>
      </c>
      <c r="H447" s="7">
        <v>2.0194764655988057E-3</v>
      </c>
      <c r="I447" s="7">
        <v>0.76344803097096037</v>
      </c>
      <c r="J447" s="7">
        <v>2.6701752071721718E-2</v>
      </c>
      <c r="K447" s="8">
        <v>9.0899999999999995E-2</v>
      </c>
      <c r="L447" s="8">
        <v>0.1217</v>
      </c>
      <c r="M447" s="8">
        <v>-1.78E-2</v>
      </c>
      <c r="N447" s="7">
        <v>3.0800000000000008E-2</v>
      </c>
      <c r="O447" s="7">
        <v>1.5099999999999988E-2</v>
      </c>
      <c r="P447" s="7">
        <v>5.9999999999999984E-4</v>
      </c>
      <c r="Q447" s="7">
        <v>4.9067713444552741E-3</v>
      </c>
      <c r="R447" s="7">
        <v>-3.4034000000000002E-2</v>
      </c>
      <c r="S447" s="7">
        <v>7.0999999999999995E-3</v>
      </c>
    </row>
    <row r="448" spans="1:19" x14ac:dyDescent="0.3">
      <c r="A448" s="3">
        <v>198403</v>
      </c>
      <c r="B448" s="6">
        <f t="shared" si="12"/>
        <v>9.8736598679869773E-3</v>
      </c>
      <c r="C448" s="4">
        <f t="shared" si="13"/>
        <v>9.9950000000000004E-3</v>
      </c>
      <c r="D448" s="5">
        <v>4.5106169116723202E-2</v>
      </c>
      <c r="E448" s="5">
        <v>4.5715013370686362E-2</v>
      </c>
      <c r="F448" s="7">
        <v>9.5866314863676333E-2</v>
      </c>
      <c r="G448" s="7">
        <v>0.47051114023591084</v>
      </c>
      <c r="H448" s="7">
        <v>1.3545875422403503E-3</v>
      </c>
      <c r="I448" s="7">
        <v>0.76247542686433911</v>
      </c>
      <c r="J448" s="7">
        <v>2.4104938638959267E-2</v>
      </c>
      <c r="K448" s="8">
        <v>9.5199999999999993E-2</v>
      </c>
      <c r="L448" s="8">
        <v>0.12529999999999999</v>
      </c>
      <c r="M448" s="8">
        <v>-1.5599999999999999E-2</v>
      </c>
      <c r="N448" s="7">
        <v>3.0100000000000002E-2</v>
      </c>
      <c r="O448" s="7">
        <v>1.419999999999999E-2</v>
      </c>
      <c r="P448" s="7">
        <v>-7.9000000000000008E-3</v>
      </c>
      <c r="Q448" s="7">
        <v>1.953124999999778E-3</v>
      </c>
      <c r="R448" s="7">
        <v>1.7295000000000001E-2</v>
      </c>
      <c r="S448" s="7">
        <v>7.3000000000000001E-3</v>
      </c>
    </row>
    <row r="449" spans="1:19" x14ac:dyDescent="0.3">
      <c r="A449" s="3">
        <v>198404</v>
      </c>
      <c r="B449" s="6">
        <f t="shared" si="12"/>
        <v>-1.3092586494335111E-3</v>
      </c>
      <c r="C449" s="4">
        <f t="shared" si="13"/>
        <v>-1.3190000000000016E-3</v>
      </c>
      <c r="D449" s="5">
        <v>4.5131708840987189E-2</v>
      </c>
      <c r="E449" s="5">
        <v>4.5378376680487498E-2</v>
      </c>
      <c r="F449" s="7">
        <v>9.7302717900656033E-2</v>
      </c>
      <c r="G449" s="7">
        <v>0.46382783353560258</v>
      </c>
      <c r="H449" s="7">
        <v>1.0355281559590913E-3</v>
      </c>
      <c r="I449" s="7">
        <v>0.75865897928678205</v>
      </c>
      <c r="J449" s="7">
        <v>2.2681953106664526E-2</v>
      </c>
      <c r="K449" s="8">
        <v>9.69E-2</v>
      </c>
      <c r="L449" s="8">
        <v>0.12839999999999999</v>
      </c>
      <c r="M449" s="8">
        <v>-1.0500000000000001E-2</v>
      </c>
      <c r="N449" s="7">
        <v>3.1499999999999986E-2</v>
      </c>
      <c r="O449" s="7">
        <v>1.5000000000000013E-2</v>
      </c>
      <c r="P449" s="7">
        <v>3.2000000000000006E-3</v>
      </c>
      <c r="Q449" s="7">
        <v>4.873294346978474E-3</v>
      </c>
      <c r="R449" s="7">
        <v>6.7809999999999997E-3</v>
      </c>
      <c r="S449" s="7">
        <v>8.1000000000000013E-3</v>
      </c>
    </row>
    <row r="450" spans="1:19" x14ac:dyDescent="0.3">
      <c r="A450" s="3">
        <v>198405</v>
      </c>
      <c r="B450" s="6">
        <f t="shared" si="12"/>
        <v>-6.2364264202503739E-2</v>
      </c>
      <c r="C450" s="4">
        <f t="shared" si="13"/>
        <v>-6.0930999999999999E-2</v>
      </c>
      <c r="D450" s="5">
        <v>4.8267485885088009E-2</v>
      </c>
      <c r="E450" s="5">
        <v>4.5402499218994065E-2</v>
      </c>
      <c r="F450" s="7">
        <v>0.1055244104948522</v>
      </c>
      <c r="G450" s="7">
        <v>0.45740588039051538</v>
      </c>
      <c r="H450" s="7">
        <v>9.3305025813985264E-4</v>
      </c>
      <c r="I450" s="7">
        <v>0.80391003303615882</v>
      </c>
      <c r="J450" s="7">
        <v>2.151412822933919E-2</v>
      </c>
      <c r="K450" s="8">
        <v>9.8299999999999998E-2</v>
      </c>
      <c r="L450" s="8">
        <v>0.1381</v>
      </c>
      <c r="M450" s="8">
        <v>-5.16E-2</v>
      </c>
      <c r="N450" s="7">
        <v>3.9800000000000002E-2</v>
      </c>
      <c r="O450" s="7">
        <v>1.4600000000000002E-2</v>
      </c>
      <c r="P450" s="7">
        <v>3.2999999999999974E-3</v>
      </c>
      <c r="Q450" s="7">
        <v>2.9097963142581396E-3</v>
      </c>
      <c r="R450" s="7">
        <v>-5.3130999999999998E-2</v>
      </c>
      <c r="S450" s="7">
        <v>7.8000000000000005E-3</v>
      </c>
    </row>
    <row r="451" spans="1:19" x14ac:dyDescent="0.3">
      <c r="A451" s="3">
        <v>198406</v>
      </c>
      <c r="B451" s="6">
        <f t="shared" ref="B451:B514" si="14">LN(R451+1) - LN(S451+1)</f>
        <v>1.5205886656729371E-2</v>
      </c>
      <c r="C451" s="4">
        <f t="shared" ref="C451:C514" si="15">R451 - S451</f>
        <v>1.5436999999999999E-2</v>
      </c>
      <c r="D451" s="5">
        <v>4.7721634678156412E-2</v>
      </c>
      <c r="E451" s="5">
        <v>4.8555297243440709E-2</v>
      </c>
      <c r="F451" s="7">
        <v>0.10575793184488835</v>
      </c>
      <c r="G451" s="7">
        <v>0.45123456790123456</v>
      </c>
      <c r="H451" s="7">
        <v>1.6757626844657043E-3</v>
      </c>
      <c r="I451" s="7">
        <v>0.78435181914517837</v>
      </c>
      <c r="J451" s="7">
        <v>1.3040592483577263E-3</v>
      </c>
      <c r="K451" s="8">
        <v>9.8699999999999996E-2</v>
      </c>
      <c r="L451" s="8">
        <v>0.13739999999999999</v>
      </c>
      <c r="M451" s="8">
        <v>1.4999999999999999E-2</v>
      </c>
      <c r="N451" s="7">
        <v>3.8699999999999998E-2</v>
      </c>
      <c r="O451" s="7">
        <v>1.4999999999999986E-2</v>
      </c>
      <c r="P451" s="7">
        <v>4.9000000000000016E-3</v>
      </c>
      <c r="Q451" s="7">
        <v>2.9013539651836506E-3</v>
      </c>
      <c r="R451" s="7">
        <v>2.2936999999999999E-2</v>
      </c>
      <c r="S451" s="7">
        <v>7.4999999999999997E-3</v>
      </c>
    </row>
    <row r="452" spans="1:19" x14ac:dyDescent="0.3">
      <c r="A452" s="3">
        <v>198407</v>
      </c>
      <c r="B452" s="6">
        <f t="shared" si="14"/>
        <v>-2.2027178729581688E-2</v>
      </c>
      <c r="C452" s="4">
        <f t="shared" si="15"/>
        <v>-2.1964999999999998E-2</v>
      </c>
      <c r="D452" s="5">
        <v>4.8674697995486529E-2</v>
      </c>
      <c r="E452" s="5">
        <v>4.7873939156547848E-2</v>
      </c>
      <c r="F452" s="7">
        <v>0.10832337714058145</v>
      </c>
      <c r="G452" s="7">
        <v>0.44934620098039213</v>
      </c>
      <c r="H452" s="7">
        <v>8.6565758129996512E-4</v>
      </c>
      <c r="I452" s="7">
        <v>0.79639193745068504</v>
      </c>
      <c r="J452" s="7">
        <v>-1.8621450707931989E-3</v>
      </c>
      <c r="K452" s="8">
        <v>0.1012</v>
      </c>
      <c r="L452" s="8">
        <v>0.1293</v>
      </c>
      <c r="M452" s="8">
        <v>6.93E-2</v>
      </c>
      <c r="N452" s="7">
        <v>2.81E-2</v>
      </c>
      <c r="O452" s="7">
        <v>1.7100000000000004E-2</v>
      </c>
      <c r="P452" s="7">
        <v>-1.0700000000000001E-2</v>
      </c>
      <c r="Q452" s="7">
        <v>3.8572806171648377E-3</v>
      </c>
      <c r="R452" s="7">
        <v>-1.3764999999999999E-2</v>
      </c>
      <c r="S452" s="7">
        <v>8.199999999999999E-3</v>
      </c>
    </row>
    <row r="453" spans="1:19" x14ac:dyDescent="0.3">
      <c r="A453" s="3">
        <v>198408</v>
      </c>
      <c r="B453" s="6">
        <f t="shared" si="14"/>
        <v>9.8288258751154073E-2</v>
      </c>
      <c r="C453" s="4">
        <f t="shared" si="15"/>
        <v>0.10413799999999999</v>
      </c>
      <c r="D453" s="5">
        <v>4.4136489080873531E-2</v>
      </c>
      <c r="E453" s="5">
        <v>4.8829616354705965E-2</v>
      </c>
      <c r="F453" s="7">
        <v>9.8632109431245507E-2</v>
      </c>
      <c r="G453" s="7">
        <v>0.44748600973236008</v>
      </c>
      <c r="H453" s="7">
        <v>3.1268327756500372E-3</v>
      </c>
      <c r="I453" s="7">
        <v>0.7254283800780803</v>
      </c>
      <c r="J453" s="7">
        <v>-3.1008349370629015E-3</v>
      </c>
      <c r="K453" s="8">
        <v>0.1047</v>
      </c>
      <c r="L453" s="8">
        <v>0.127</v>
      </c>
      <c r="M453" s="8">
        <v>2.6599999999999999E-2</v>
      </c>
      <c r="N453" s="7">
        <v>2.23E-2</v>
      </c>
      <c r="O453" s="7">
        <v>1.7600000000000032E-2</v>
      </c>
      <c r="P453" s="7">
        <v>4.1000000000000029E-3</v>
      </c>
      <c r="Q453" s="7">
        <v>3.842459173871271E-3</v>
      </c>
      <c r="R453" s="7">
        <v>0.112438</v>
      </c>
      <c r="S453" s="7">
        <v>8.3000000000000001E-3</v>
      </c>
    </row>
    <row r="454" spans="1:19" x14ac:dyDescent="0.3">
      <c r="A454" s="3">
        <v>198409</v>
      </c>
      <c r="B454" s="6">
        <f t="shared" si="14"/>
        <v>-8.627232708575152E-3</v>
      </c>
      <c r="C454" s="4">
        <f t="shared" si="15"/>
        <v>-8.6639999999999998E-3</v>
      </c>
      <c r="D454" s="5">
        <v>4.4431065623118604E-2</v>
      </c>
      <c r="E454" s="5">
        <v>4.4276457883369327E-2</v>
      </c>
      <c r="F454" s="7">
        <v>9.969897652016857E-2</v>
      </c>
      <c r="G454" s="7">
        <v>0.44565217391304351</v>
      </c>
      <c r="H454" s="7">
        <v>9.4322665330438989E-4</v>
      </c>
      <c r="I454" s="7">
        <v>0.73605091529862188</v>
      </c>
      <c r="J454" s="7">
        <v>-9.4925469520563948E-3</v>
      </c>
      <c r="K454" s="8">
        <v>0.10369999999999999</v>
      </c>
      <c r="L454" s="8">
        <v>0.1235</v>
      </c>
      <c r="M454" s="8">
        <v>3.4200000000000001E-2</v>
      </c>
      <c r="N454" s="7">
        <v>1.9800000000000012E-2</v>
      </c>
      <c r="O454" s="7">
        <v>1.6899999999999998E-2</v>
      </c>
      <c r="P454" s="7">
        <v>-2.8000000000000039E-3</v>
      </c>
      <c r="Q454" s="7">
        <v>4.7846889952152249E-3</v>
      </c>
      <c r="R454" s="7">
        <v>-6.3999999999999997E-5</v>
      </c>
      <c r="S454" s="7">
        <v>8.6E-3</v>
      </c>
    </row>
    <row r="455" spans="1:19" x14ac:dyDescent="0.3">
      <c r="A455" s="3">
        <v>198410</v>
      </c>
      <c r="B455" s="6">
        <f t="shared" si="14"/>
        <v>-6.6248663445929671E-3</v>
      </c>
      <c r="C455" s="4">
        <f t="shared" si="15"/>
        <v>-6.6689999999999996E-3</v>
      </c>
      <c r="D455" s="5">
        <v>4.473478234692034E-2</v>
      </c>
      <c r="E455" s="5">
        <v>4.4732089102950033E-2</v>
      </c>
      <c r="F455" s="7">
        <v>9.9865735444638448E-2</v>
      </c>
      <c r="G455" s="7">
        <v>0.44794926055212908</v>
      </c>
      <c r="H455" s="7">
        <v>1.2918483265148576E-3</v>
      </c>
      <c r="I455" s="7">
        <v>0.73564246550381818</v>
      </c>
      <c r="J455" s="7">
        <v>-1.3528482538892781E-2</v>
      </c>
      <c r="K455" s="8">
        <v>9.74E-2</v>
      </c>
      <c r="L455" s="8">
        <v>0.1173</v>
      </c>
      <c r="M455" s="8">
        <v>5.6099999999999997E-2</v>
      </c>
      <c r="N455" s="7">
        <v>1.9900000000000001E-2</v>
      </c>
      <c r="O455" s="7">
        <v>1.3100000000000001E-2</v>
      </c>
      <c r="P455" s="7">
        <v>1.1000000000000038E-3</v>
      </c>
      <c r="Q455" s="7">
        <v>2.8571428571428914E-3</v>
      </c>
      <c r="R455" s="7">
        <v>3.3310000000000002E-3</v>
      </c>
      <c r="S455" s="7">
        <v>0.01</v>
      </c>
    </row>
    <row r="456" spans="1:19" x14ac:dyDescent="0.3">
      <c r="A456" s="3">
        <v>198411</v>
      </c>
      <c r="B456" s="6">
        <f t="shared" si="14"/>
        <v>-1.7163226655166449E-2</v>
      </c>
      <c r="C456" s="4">
        <f t="shared" si="15"/>
        <v>-1.7141E-2</v>
      </c>
      <c r="D456" s="5">
        <v>4.5726861474507885E-2</v>
      </c>
      <c r="E456" s="5">
        <v>4.503582395087001E-2</v>
      </c>
      <c r="F456" s="7">
        <v>0.10156070424257242</v>
      </c>
      <c r="G456" s="7">
        <v>0.45024167383963459</v>
      </c>
      <c r="H456" s="7">
        <v>1.020289487323581E-3</v>
      </c>
      <c r="I456" s="7">
        <v>0.74705199589550353</v>
      </c>
      <c r="J456" s="7">
        <v>-2.1877206599975808E-2</v>
      </c>
      <c r="K456" s="8">
        <v>8.6099999999999996E-2</v>
      </c>
      <c r="L456" s="8">
        <v>0.1169</v>
      </c>
      <c r="M456" s="8">
        <v>1.18E-2</v>
      </c>
      <c r="N456" s="7">
        <v>3.0800000000000008E-2</v>
      </c>
      <c r="O456" s="7">
        <v>1.1900000000000008E-2</v>
      </c>
      <c r="P456" s="7">
        <v>9.4000000000000004E-3</v>
      </c>
      <c r="Q456" s="7">
        <v>0</v>
      </c>
      <c r="R456" s="7">
        <v>-9.8410000000000008E-3</v>
      </c>
      <c r="S456" s="7">
        <v>7.3000000000000001E-3</v>
      </c>
    </row>
    <row r="457" spans="1:19" x14ac:dyDescent="0.3">
      <c r="A457" s="3">
        <v>198412</v>
      </c>
      <c r="B457" s="6">
        <f t="shared" si="14"/>
        <v>1.8855297583855884E-2</v>
      </c>
      <c r="C457" s="4">
        <f t="shared" si="15"/>
        <v>1.9155999999999999E-2</v>
      </c>
      <c r="D457" s="5">
        <v>4.5025113609184403E-2</v>
      </c>
      <c r="E457" s="5">
        <v>4.6032522313241224E-2</v>
      </c>
      <c r="F457" s="7">
        <v>9.9497727816311887E-2</v>
      </c>
      <c r="G457" s="7">
        <v>0.45252403846153844</v>
      </c>
      <c r="H457" s="7">
        <v>1.190105415635095E-3</v>
      </c>
      <c r="I457" s="7">
        <v>0.73309837648670739</v>
      </c>
      <c r="J457" s="7">
        <v>-2.7196788219124485E-2</v>
      </c>
      <c r="K457" s="8">
        <v>8.0600000000000005E-2</v>
      </c>
      <c r="L457" s="8">
        <v>0.11700000000000001</v>
      </c>
      <c r="M457" s="8">
        <v>9.1000000000000004E-3</v>
      </c>
      <c r="N457" s="7">
        <v>3.6400000000000002E-2</v>
      </c>
      <c r="O457" s="7">
        <v>1.2700000000000003E-2</v>
      </c>
      <c r="P457" s="7">
        <v>3.7000000000000002E-3</v>
      </c>
      <c r="Q457" s="7">
        <v>0</v>
      </c>
      <c r="R457" s="7">
        <v>2.5555999999999999E-2</v>
      </c>
      <c r="S457" s="7">
        <v>6.4000000000000003E-3</v>
      </c>
    </row>
    <row r="458" spans="1:19" x14ac:dyDescent="0.3">
      <c r="A458" s="3">
        <v>198501</v>
      </c>
      <c r="B458" s="6">
        <f t="shared" si="14"/>
        <v>6.7577861891029378E-2</v>
      </c>
      <c r="C458" s="4">
        <f t="shared" si="15"/>
        <v>7.0368E-2</v>
      </c>
      <c r="D458" s="5">
        <v>4.2160719256248959E-2</v>
      </c>
      <c r="E458" s="5">
        <v>4.5284202343936854E-2</v>
      </c>
      <c r="F458" s="7">
        <v>9.2171129544062799E-2</v>
      </c>
      <c r="G458" s="7">
        <v>0.4574178429276366</v>
      </c>
      <c r="H458" s="7">
        <v>1.6358206503329523E-3</v>
      </c>
      <c r="I458" s="7">
        <v>0.69025544580616582</v>
      </c>
      <c r="J458" s="7">
        <v>-2.9905004554313382E-2</v>
      </c>
      <c r="K458" s="8">
        <v>7.7600000000000002E-2</v>
      </c>
      <c r="L458" s="8">
        <v>0.11269999999999999</v>
      </c>
      <c r="M458" s="8">
        <v>3.6400000000000002E-2</v>
      </c>
      <c r="N458" s="7">
        <v>3.5099999999999992E-2</v>
      </c>
      <c r="O458" s="7">
        <v>1.1799999999999991E-2</v>
      </c>
      <c r="P458" s="7">
        <v>-3.9000000000000007E-3</v>
      </c>
      <c r="Q458" s="7">
        <v>1.8993352326686086E-3</v>
      </c>
      <c r="R458" s="7">
        <v>7.6868000000000006E-2</v>
      </c>
      <c r="S458" s="7">
        <v>6.5000000000000006E-3</v>
      </c>
    </row>
    <row r="459" spans="1:19" x14ac:dyDescent="0.3">
      <c r="A459" s="3">
        <v>198502</v>
      </c>
      <c r="B459" s="6">
        <f t="shared" si="14"/>
        <v>8.2833551013424302E-3</v>
      </c>
      <c r="C459" s="4">
        <f t="shared" si="15"/>
        <v>8.3660000000000002E-3</v>
      </c>
      <c r="D459" s="5">
        <v>4.203692256747061E-2</v>
      </c>
      <c r="E459" s="5">
        <v>4.2401992985581477E-2</v>
      </c>
      <c r="F459" s="7">
        <v>9.0917269164964939E-2</v>
      </c>
      <c r="G459" s="7">
        <v>0.46236455355029055</v>
      </c>
      <c r="H459" s="7">
        <v>7.4529633524407642E-4</v>
      </c>
      <c r="I459" s="7">
        <v>0.69173916090996179</v>
      </c>
      <c r="J459" s="7">
        <v>-2.4518914198169386E-2</v>
      </c>
      <c r="K459" s="8">
        <v>8.2699999999999996E-2</v>
      </c>
      <c r="L459" s="8">
        <v>0.12089999999999999</v>
      </c>
      <c r="M459" s="8">
        <v>-4.9299999999999997E-2</v>
      </c>
      <c r="N459" s="7">
        <v>3.8199999999999998E-2</v>
      </c>
      <c r="O459" s="7">
        <v>1.0999999999999996E-2</v>
      </c>
      <c r="P459" s="7">
        <v>1.1999999999999997E-2</v>
      </c>
      <c r="Q459" s="7">
        <v>4.7393364928909332E-3</v>
      </c>
      <c r="R459" s="7">
        <v>1.4166E-2</v>
      </c>
      <c r="S459" s="7">
        <v>5.7999999999999996E-3</v>
      </c>
    </row>
    <row r="460" spans="1:19" x14ac:dyDescent="0.3">
      <c r="A460" s="3">
        <v>198503</v>
      </c>
      <c r="B460" s="6">
        <f t="shared" si="14"/>
        <v>-6.8170614088751457E-3</v>
      </c>
      <c r="C460" s="4">
        <f t="shared" si="15"/>
        <v>-6.8360000000000001E-3</v>
      </c>
      <c r="D460" s="5">
        <v>4.2400088564153664E-2</v>
      </c>
      <c r="E460" s="5">
        <v>4.2276063800430488E-2</v>
      </c>
      <c r="F460" s="7">
        <v>9.0722904904240009E-2</v>
      </c>
      <c r="G460" s="7">
        <v>0.46735814521049418</v>
      </c>
      <c r="H460" s="7">
        <v>8.0228553021887566E-4</v>
      </c>
      <c r="I460" s="7">
        <v>0.72364577906187344</v>
      </c>
      <c r="J460" s="7">
        <v>-2.4815771189380723E-2</v>
      </c>
      <c r="K460" s="8">
        <v>8.5199999999999998E-2</v>
      </c>
      <c r="L460" s="8">
        <v>0.1181</v>
      </c>
      <c r="M460" s="8">
        <v>3.0700000000000002E-2</v>
      </c>
      <c r="N460" s="7">
        <v>3.2899999999999999E-2</v>
      </c>
      <c r="O460" s="7">
        <v>1.1299999999999977E-2</v>
      </c>
      <c r="P460" s="7">
        <v>-1.2800000000000002E-2</v>
      </c>
      <c r="Q460" s="7">
        <v>3.7735849056603765E-3</v>
      </c>
      <c r="R460" s="7">
        <v>-6.3599999999999996E-4</v>
      </c>
      <c r="S460" s="7">
        <v>6.1999999999999998E-3</v>
      </c>
    </row>
    <row r="461" spans="1:19" x14ac:dyDescent="0.3">
      <c r="A461" s="3">
        <v>198504</v>
      </c>
      <c r="B461" s="6">
        <f t="shared" si="14"/>
        <v>-1.0885080542349886E-2</v>
      </c>
      <c r="C461" s="4">
        <f t="shared" si="15"/>
        <v>-1.0904E-2</v>
      </c>
      <c r="D461" s="5">
        <v>4.2744091642106435E-2</v>
      </c>
      <c r="E461" s="5">
        <v>4.2547713937783685E-2</v>
      </c>
      <c r="F461" s="7">
        <v>8.9695823833620625E-2</v>
      </c>
      <c r="G461" s="7">
        <v>0.47654494730316188</v>
      </c>
      <c r="H461" s="7">
        <v>4.5988018255247045E-4</v>
      </c>
      <c r="I461" s="7">
        <v>0.72866159006724651</v>
      </c>
      <c r="J461" s="7">
        <v>-2.241179231329862E-2</v>
      </c>
      <c r="K461" s="8">
        <v>7.9500000000000001E-2</v>
      </c>
      <c r="L461" s="8">
        <v>0.1162</v>
      </c>
      <c r="M461" s="8">
        <v>2.4199999999999999E-2</v>
      </c>
      <c r="N461" s="7">
        <v>3.6699999999999997E-2</v>
      </c>
      <c r="O461" s="7">
        <v>1.2799999999999992E-2</v>
      </c>
      <c r="P461" s="7">
        <v>5.400000000000002E-3</v>
      </c>
      <c r="Q461" s="7">
        <v>4.6992481203007586E-3</v>
      </c>
      <c r="R461" s="7">
        <v>-3.7039999999999998E-3</v>
      </c>
      <c r="S461" s="7">
        <v>7.1999999999999998E-3</v>
      </c>
    </row>
    <row r="462" spans="1:19" x14ac:dyDescent="0.3">
      <c r="A462" s="3">
        <v>198505</v>
      </c>
      <c r="B462" s="6">
        <f t="shared" si="14"/>
        <v>5.4272163301675912E-2</v>
      </c>
      <c r="C462" s="4">
        <f t="shared" si="15"/>
        <v>5.6140000000000002E-2</v>
      </c>
      <c r="D462" s="5">
        <v>4.0692851490371933E-2</v>
      </c>
      <c r="E462" s="5">
        <v>4.2892342768169937E-2</v>
      </c>
      <c r="F462" s="7">
        <v>8.3724610920601419E-2</v>
      </c>
      <c r="G462" s="7">
        <v>0.48603213610586016</v>
      </c>
      <c r="H462" s="7">
        <v>8.3386030876213746E-4</v>
      </c>
      <c r="I462" s="7">
        <v>0.69689298393656729</v>
      </c>
      <c r="J462" s="7">
        <v>-2.5480930390303958E-2</v>
      </c>
      <c r="K462" s="8">
        <v>7.4800000000000005E-2</v>
      </c>
      <c r="L462" s="8">
        <v>0.1062</v>
      </c>
      <c r="M462" s="8">
        <v>8.9599999999999999E-2</v>
      </c>
      <c r="N462" s="7">
        <v>3.1399999999999997E-2</v>
      </c>
      <c r="O462" s="7">
        <v>1.4299999999999993E-2</v>
      </c>
      <c r="P462" s="7">
        <v>-7.5999999999999956E-3</v>
      </c>
      <c r="Q462" s="7">
        <v>3.7418147801682178E-3</v>
      </c>
      <c r="R462" s="7">
        <v>6.2740000000000004E-2</v>
      </c>
      <c r="S462" s="7">
        <v>6.6E-3</v>
      </c>
    </row>
    <row r="463" spans="1:19" x14ac:dyDescent="0.3">
      <c r="A463" s="3">
        <v>198506</v>
      </c>
      <c r="B463" s="6">
        <f t="shared" si="14"/>
        <v>1.0452393257271968E-2</v>
      </c>
      <c r="C463" s="4">
        <f t="shared" si="15"/>
        <v>1.0564999999999998E-2</v>
      </c>
      <c r="D463" s="5">
        <v>4.0344018764659893E-2</v>
      </c>
      <c r="E463" s="5">
        <v>4.0833553152202585E-2</v>
      </c>
      <c r="F463" s="7">
        <v>8.1365650247589266E-2</v>
      </c>
      <c r="G463" s="7">
        <v>0.49583600256246002</v>
      </c>
      <c r="H463" s="7">
        <v>7.4152026474529802E-4</v>
      </c>
      <c r="I463" s="7">
        <v>0.68643014392044688</v>
      </c>
      <c r="J463" s="7">
        <v>-2.6607512615798606E-2</v>
      </c>
      <c r="K463" s="8">
        <v>6.9500000000000006E-2</v>
      </c>
      <c r="L463" s="8">
        <v>0.1055</v>
      </c>
      <c r="M463" s="8">
        <v>1.4200000000000001E-2</v>
      </c>
      <c r="N463" s="7">
        <v>3.599999999999999E-2</v>
      </c>
      <c r="O463" s="7">
        <v>1.4600000000000002E-2</v>
      </c>
      <c r="P463" s="7">
        <v>-5.9000000000000007E-3</v>
      </c>
      <c r="Q463" s="7">
        <v>2.7958993476233651E-3</v>
      </c>
      <c r="R463" s="7">
        <v>1.6064999999999999E-2</v>
      </c>
      <c r="S463" s="7">
        <v>5.5000000000000005E-3</v>
      </c>
    </row>
    <row r="464" spans="1:19" x14ac:dyDescent="0.3">
      <c r="A464" s="3">
        <v>198507</v>
      </c>
      <c r="B464" s="6">
        <f t="shared" si="14"/>
        <v>-9.5073858352204589E-3</v>
      </c>
      <c r="C464" s="4">
        <f t="shared" si="15"/>
        <v>-9.5209999999999999E-3</v>
      </c>
      <c r="D464" s="5">
        <v>4.071511627906977E-2</v>
      </c>
      <c r="E464" s="5">
        <v>4.0517748240813133E-2</v>
      </c>
      <c r="F464" s="7">
        <v>8.1098365807668132E-2</v>
      </c>
      <c r="G464" s="7">
        <v>0.50204607544903213</v>
      </c>
      <c r="H464" s="7">
        <v>7.1862985257242003E-4</v>
      </c>
      <c r="I464" s="7">
        <v>0.68032208987346465</v>
      </c>
      <c r="J464" s="7">
        <v>-2.463866284056395E-2</v>
      </c>
      <c r="K464" s="8">
        <v>7.0800000000000002E-2</v>
      </c>
      <c r="L464" s="8">
        <v>0.1091</v>
      </c>
      <c r="M464" s="8">
        <v>-1.7999999999999999E-2</v>
      </c>
      <c r="N464" s="7">
        <v>3.8300000000000001E-2</v>
      </c>
      <c r="O464" s="7">
        <v>1.4599999999999988E-2</v>
      </c>
      <c r="P464" s="7">
        <v>5.899999999999999E-3</v>
      </c>
      <c r="Q464" s="7">
        <v>1.8587360594795044E-3</v>
      </c>
      <c r="R464" s="7">
        <v>-3.3210000000000002E-3</v>
      </c>
      <c r="S464" s="7">
        <v>6.1999999999999998E-3</v>
      </c>
    </row>
    <row r="465" spans="1:19" x14ac:dyDescent="0.3">
      <c r="A465" s="3">
        <v>198508</v>
      </c>
      <c r="B465" s="6">
        <f t="shared" si="14"/>
        <v>-1.1978970941900237E-2</v>
      </c>
      <c r="C465" s="4">
        <f t="shared" si="15"/>
        <v>-1.1973000000000001E-2</v>
      </c>
      <c r="D465" s="5">
        <v>4.1386152785877116E-2</v>
      </c>
      <c r="E465" s="5">
        <v>4.0889744395558356E-2</v>
      </c>
      <c r="F465" s="7">
        <v>8.1411758468960399E-2</v>
      </c>
      <c r="G465" s="7">
        <v>0.50835596189285459</v>
      </c>
      <c r="H465" s="7">
        <v>6.2969532805578804E-4</v>
      </c>
      <c r="I465" s="7">
        <v>0.68717625804904015</v>
      </c>
      <c r="J465" s="7">
        <v>-2.4227473716607866E-2</v>
      </c>
      <c r="K465" s="8">
        <v>7.1399999999999991E-2</v>
      </c>
      <c r="L465" s="8">
        <v>0.10680000000000001</v>
      </c>
      <c r="M465" s="8">
        <v>2.5899999999999999E-2</v>
      </c>
      <c r="N465" s="7">
        <v>3.5400000000000015E-2</v>
      </c>
      <c r="O465" s="7">
        <v>1.4499999999999999E-2</v>
      </c>
      <c r="P465" s="7">
        <v>9.9999999999999395E-5</v>
      </c>
      <c r="Q465" s="7">
        <v>1.8552875695732052E-3</v>
      </c>
      <c r="R465" s="7">
        <v>-6.4729999999999996E-3</v>
      </c>
      <c r="S465" s="7">
        <v>5.5000000000000005E-3</v>
      </c>
    </row>
    <row r="466" spans="1:19" x14ac:dyDescent="0.3">
      <c r="A466" s="3">
        <v>198509</v>
      </c>
      <c r="B466" s="6">
        <f t="shared" si="14"/>
        <v>-3.9795351387244417E-2</v>
      </c>
      <c r="C466" s="4">
        <f t="shared" si="15"/>
        <v>-3.9247999999999998E-2</v>
      </c>
      <c r="D466" s="5">
        <v>4.3057996485061506E-2</v>
      </c>
      <c r="E466" s="5">
        <v>4.1562847903302759E-2</v>
      </c>
      <c r="F466" s="7">
        <v>8.3644551845342696E-2</v>
      </c>
      <c r="G466" s="7">
        <v>0.51477347340774782</v>
      </c>
      <c r="H466" s="7">
        <v>8.6584307188714189E-4</v>
      </c>
      <c r="I466" s="7">
        <v>0.68995882977202083</v>
      </c>
      <c r="J466" s="7">
        <v>-3.1294354774893188E-2</v>
      </c>
      <c r="K466" s="8">
        <v>7.0999999999999994E-2</v>
      </c>
      <c r="L466" s="8">
        <v>0.1082</v>
      </c>
      <c r="M466" s="8">
        <v>-2.0999999999999999E-3</v>
      </c>
      <c r="N466" s="7">
        <v>3.7200000000000011E-2</v>
      </c>
      <c r="O466" s="7">
        <v>1.4100000000000001E-2</v>
      </c>
      <c r="P466" s="7">
        <v>9.1999999999999998E-3</v>
      </c>
      <c r="Q466" s="7">
        <v>2.7777777777777679E-3</v>
      </c>
      <c r="R466" s="7">
        <v>-3.3248E-2</v>
      </c>
      <c r="S466" s="7">
        <v>6.0000000000000001E-3</v>
      </c>
    </row>
    <row r="467" spans="1:19" x14ac:dyDescent="0.3">
      <c r="A467" s="3">
        <v>198510</v>
      </c>
      <c r="B467" s="6">
        <f t="shared" si="14"/>
        <v>3.7613514547798439E-2</v>
      </c>
      <c r="C467" s="4">
        <f t="shared" si="15"/>
        <v>3.8579000000000002E-2</v>
      </c>
      <c r="D467" s="5">
        <v>4.1407649352017704E-2</v>
      </c>
      <c r="E467" s="5">
        <v>4.3167838312829526E-2</v>
      </c>
      <c r="F467" s="7">
        <v>7.9144979454219791E-2</v>
      </c>
      <c r="G467" s="7">
        <v>0.52318731570294141</v>
      </c>
      <c r="H467" s="7">
        <v>9.1176397725023907E-4</v>
      </c>
      <c r="I467" s="7">
        <v>0.6670256346821315</v>
      </c>
      <c r="J467" s="7">
        <v>-2.7069338453186795E-2</v>
      </c>
      <c r="K467" s="8">
        <v>7.1599999999999997E-2</v>
      </c>
      <c r="L467" s="8">
        <v>0.1051</v>
      </c>
      <c r="M467" s="8">
        <v>3.3799999999999997E-2</v>
      </c>
      <c r="N467" s="7">
        <v>3.3500000000000002E-2</v>
      </c>
      <c r="O467" s="7">
        <v>1.3399999999999995E-2</v>
      </c>
      <c r="P467" s="7">
        <v>-8.9999999999999802E-4</v>
      </c>
      <c r="Q467" s="7">
        <v>3.6934441366573978E-3</v>
      </c>
      <c r="R467" s="7">
        <v>4.5079000000000001E-2</v>
      </c>
      <c r="S467" s="7">
        <v>6.5000000000000006E-3</v>
      </c>
    </row>
    <row r="468" spans="1:19" x14ac:dyDescent="0.3">
      <c r="A468" s="3">
        <v>198511</v>
      </c>
      <c r="B468" s="6">
        <f t="shared" si="14"/>
        <v>6.3339176328909438E-2</v>
      </c>
      <c r="C468" s="4">
        <f t="shared" si="15"/>
        <v>6.5787000000000012E-2</v>
      </c>
      <c r="D468" s="5">
        <v>3.8977098481475986E-2</v>
      </c>
      <c r="E468" s="5">
        <v>4.1513012327468131E-2</v>
      </c>
      <c r="F468" s="7">
        <v>7.3288321709452445E-2</v>
      </c>
      <c r="G468" s="7">
        <v>0.53183232433672811</v>
      </c>
      <c r="H468" s="7">
        <v>9.4306841350851468E-4</v>
      </c>
      <c r="I468" s="7">
        <v>0.62270315800914322</v>
      </c>
      <c r="J468" s="7">
        <v>-2.771587706369686E-2</v>
      </c>
      <c r="K468" s="8">
        <v>7.2400000000000006E-2</v>
      </c>
      <c r="L468" s="8">
        <v>0.1011</v>
      </c>
      <c r="M468" s="8">
        <v>4.0099999999999997E-2</v>
      </c>
      <c r="N468" s="7">
        <v>2.8699999999999989E-2</v>
      </c>
      <c r="O468" s="7">
        <v>1.4399999999999996E-2</v>
      </c>
      <c r="P468" s="7">
        <v>-3.0999999999999986E-3</v>
      </c>
      <c r="Q468" s="7">
        <v>2.7598896044158661E-3</v>
      </c>
      <c r="R468" s="7">
        <v>7.1887000000000006E-2</v>
      </c>
      <c r="S468" s="7">
        <v>6.0999999999999995E-3</v>
      </c>
    </row>
    <row r="469" spans="1:19" x14ac:dyDescent="0.3">
      <c r="A469" s="3">
        <v>198512</v>
      </c>
      <c r="B469" s="6">
        <f t="shared" si="14"/>
        <v>4.0553463685172972E-2</v>
      </c>
      <c r="C469" s="4">
        <f t="shared" si="15"/>
        <v>4.1655999999999999E-2</v>
      </c>
      <c r="D469" s="5">
        <v>3.739113971980311E-2</v>
      </c>
      <c r="E469" s="5">
        <v>3.9076025127368061E-2</v>
      </c>
      <c r="F469" s="7">
        <v>6.9149943203332065E-2</v>
      </c>
      <c r="G469" s="7">
        <v>0.54072553045859006</v>
      </c>
      <c r="H469" s="7">
        <v>1.2300755362928404E-3</v>
      </c>
      <c r="I469" s="7">
        <v>0.59269268816231002</v>
      </c>
      <c r="J469" s="7">
        <v>-1.9465079205520434E-2</v>
      </c>
      <c r="K469" s="8">
        <v>7.0999999999999994E-2</v>
      </c>
      <c r="L469" s="8">
        <v>9.5600000000000004E-2</v>
      </c>
      <c r="M469" s="8">
        <v>5.4100000000000002E-2</v>
      </c>
      <c r="N469" s="7">
        <v>2.4600000000000011E-2</v>
      </c>
      <c r="O469" s="7">
        <v>1.4200000000000004E-2</v>
      </c>
      <c r="P469" s="7">
        <v>-7.200000000000005E-3</v>
      </c>
      <c r="Q469" s="7">
        <v>2.7522935779815683E-3</v>
      </c>
      <c r="R469" s="7">
        <v>4.8155999999999997E-2</v>
      </c>
      <c r="S469" s="7">
        <v>6.5000000000000006E-3</v>
      </c>
    </row>
    <row r="470" spans="1:19" x14ac:dyDescent="0.3">
      <c r="A470" s="3">
        <v>198601</v>
      </c>
      <c r="B470" s="6">
        <f t="shared" si="14"/>
        <v>-8.8941689368096048E-4</v>
      </c>
      <c r="C470" s="4">
        <f t="shared" si="15"/>
        <v>-8.940000000000007E-4</v>
      </c>
      <c r="D470" s="5">
        <v>3.7491736707904434E-2</v>
      </c>
      <c r="E470" s="5">
        <v>3.7580461946232491E-2</v>
      </c>
      <c r="F470" s="7">
        <v>6.8845027859099059E-2</v>
      </c>
      <c r="G470" s="7">
        <v>0.54458161865569277</v>
      </c>
      <c r="H470" s="7">
        <v>1.9201583950002386E-3</v>
      </c>
      <c r="I470" s="7">
        <v>0.58351739985614171</v>
      </c>
      <c r="J470" s="7">
        <v>-1.9171774074622231E-2</v>
      </c>
      <c r="K470" s="8">
        <v>7.0699999999999999E-2</v>
      </c>
      <c r="L470" s="8">
        <v>9.5799999999999996E-2</v>
      </c>
      <c r="M470" s="8">
        <v>-2.5000000000000001E-3</v>
      </c>
      <c r="N470" s="7">
        <v>2.5099999999999997E-2</v>
      </c>
      <c r="O470" s="7">
        <v>1.3899999999999996E-2</v>
      </c>
      <c r="P470" s="7">
        <v>6.9999999999999993E-3</v>
      </c>
      <c r="Q470" s="7">
        <v>2.7447392497712553E-3</v>
      </c>
      <c r="R470" s="7">
        <v>4.7060000000000001E-3</v>
      </c>
      <c r="S470" s="7">
        <v>5.6000000000000008E-3</v>
      </c>
    </row>
    <row r="471" spans="1:19" x14ac:dyDescent="0.3">
      <c r="A471" s="3">
        <v>198602</v>
      </c>
      <c r="B471" s="6">
        <f t="shared" si="14"/>
        <v>6.8452256532580469E-2</v>
      </c>
      <c r="C471" s="4">
        <f t="shared" si="15"/>
        <v>7.1224999999999997E-2</v>
      </c>
      <c r="D471" s="5">
        <v>3.5166578529878374E-2</v>
      </c>
      <c r="E471" s="5">
        <v>3.7680611955803196E-2</v>
      </c>
      <c r="F471" s="7">
        <v>6.4119513484928614E-2</v>
      </c>
      <c r="G471" s="7">
        <v>0.54845360824742273</v>
      </c>
      <c r="H471" s="7">
        <v>1.0892901972809844E-3</v>
      </c>
      <c r="I471" s="7">
        <v>0.53637672170666917</v>
      </c>
      <c r="J471" s="7">
        <v>-1.7914260169331078E-2</v>
      </c>
      <c r="K471" s="8">
        <v>7.0599999999999996E-2</v>
      </c>
      <c r="L471" s="8">
        <v>8.4099999999999994E-2</v>
      </c>
      <c r="M471" s="8">
        <v>0.1145</v>
      </c>
      <c r="N471" s="7">
        <v>1.3499999999999998E-2</v>
      </c>
      <c r="O471" s="7">
        <v>1.4399999999999996E-2</v>
      </c>
      <c r="P471" s="7">
        <v>-3.9300000000000002E-2</v>
      </c>
      <c r="Q471" s="7">
        <v>-2.7372262773722733E-3</v>
      </c>
      <c r="R471" s="7">
        <v>7.6524999999999996E-2</v>
      </c>
      <c r="S471" s="7">
        <v>5.3E-3</v>
      </c>
    </row>
    <row r="472" spans="1:19" x14ac:dyDescent="0.3">
      <c r="A472" s="3">
        <v>198603</v>
      </c>
      <c r="B472" s="6">
        <f t="shared" si="14"/>
        <v>4.8347010041130421E-2</v>
      </c>
      <c r="C472" s="4">
        <f t="shared" si="15"/>
        <v>4.9832000000000001E-2</v>
      </c>
      <c r="D472" s="5">
        <v>3.3570531603181242E-2</v>
      </c>
      <c r="E472" s="5">
        <v>3.5342852106469237E-2</v>
      </c>
      <c r="F472" s="7">
        <v>6.0778568438677266E-2</v>
      </c>
      <c r="G472" s="7">
        <v>0.55234159779614322</v>
      </c>
      <c r="H472" s="7">
        <v>1.3737344092916417E-3</v>
      </c>
      <c r="I472" s="7">
        <v>0.51962762769367821</v>
      </c>
      <c r="J472" s="7">
        <v>-1.64196183723706E-2</v>
      </c>
      <c r="K472" s="8">
        <v>6.5599999999999992E-2</v>
      </c>
      <c r="L472" s="8">
        <v>7.6600000000000001E-2</v>
      </c>
      <c r="M472" s="8">
        <v>7.6999999999999999E-2</v>
      </c>
      <c r="N472" s="7">
        <v>1.100000000000001E-2</v>
      </c>
      <c r="O472" s="7">
        <v>1.4999999999999999E-2</v>
      </c>
      <c r="P472" s="7">
        <v>-5.1400000000000001E-2</v>
      </c>
      <c r="Q472" s="7">
        <v>-4.5745654162854255E-3</v>
      </c>
      <c r="R472" s="7">
        <v>5.5832E-2</v>
      </c>
      <c r="S472" s="7">
        <v>6.0000000000000001E-3</v>
      </c>
    </row>
    <row r="473" spans="1:19" x14ac:dyDescent="0.3">
      <c r="A473" s="3">
        <v>198604</v>
      </c>
      <c r="B473" s="6">
        <f t="shared" si="14"/>
        <v>-1.8624411994788932E-2</v>
      </c>
      <c r="C473" s="4">
        <f t="shared" si="15"/>
        <v>-1.8548000000000002E-2</v>
      </c>
      <c r="D473" s="5">
        <v>3.4165548573369564E-2</v>
      </c>
      <c r="E473" s="5">
        <v>3.36821682712432E-2</v>
      </c>
      <c r="F473" s="7">
        <v>6.1919582201086953E-2</v>
      </c>
      <c r="G473" s="7">
        <v>0.55177291833809916</v>
      </c>
      <c r="H473" s="7">
        <v>2.4589457125716715E-3</v>
      </c>
      <c r="I473" s="7">
        <v>0.52971445868227218</v>
      </c>
      <c r="J473" s="7">
        <v>-2.458478138906588E-2</v>
      </c>
      <c r="K473" s="8">
        <v>6.0599999999999994E-2</v>
      </c>
      <c r="L473" s="8">
        <v>7.8200000000000006E-2</v>
      </c>
      <c r="M473" s="8">
        <v>-8.0000000000000002E-3</v>
      </c>
      <c r="N473" s="7">
        <v>1.7600000000000011E-2</v>
      </c>
      <c r="O473" s="7">
        <v>1.3999999999999999E-2</v>
      </c>
      <c r="P473" s="7">
        <v>9.6000000000000009E-3</v>
      </c>
      <c r="Q473" s="7">
        <v>-1.8382352941176405E-3</v>
      </c>
      <c r="R473" s="7">
        <v>-1.3348E-2</v>
      </c>
      <c r="S473" s="7">
        <v>5.1999999999999998E-3</v>
      </c>
    </row>
    <row r="474" spans="1:19" x14ac:dyDescent="0.3">
      <c r="A474" s="3">
        <v>198605</v>
      </c>
      <c r="B474" s="6">
        <f t="shared" si="14"/>
        <v>4.8961689862458684E-2</v>
      </c>
      <c r="C474" s="4">
        <f t="shared" si="15"/>
        <v>5.0425999999999999E-2</v>
      </c>
      <c r="D474" s="5">
        <v>3.2639296543359612E-2</v>
      </c>
      <c r="E474" s="5">
        <v>3.4278744904891308E-2</v>
      </c>
      <c r="F474" s="7">
        <v>5.9214473418233271E-2</v>
      </c>
      <c r="G474" s="7">
        <v>0.551204708227792</v>
      </c>
      <c r="H474" s="7">
        <v>1.3699310686381199E-3</v>
      </c>
      <c r="I474" s="7">
        <v>0.50354077081701487</v>
      </c>
      <c r="J474" s="7">
        <v>-2.1871957856733959E-2</v>
      </c>
      <c r="K474" s="8">
        <v>6.1500000000000006E-2</v>
      </c>
      <c r="L474" s="8">
        <v>8.48E-2</v>
      </c>
      <c r="M474" s="8">
        <v>-5.0500000000000003E-2</v>
      </c>
      <c r="N474" s="7">
        <v>2.3299999999999994E-2</v>
      </c>
      <c r="O474" s="7">
        <v>1.1999999999999997E-2</v>
      </c>
      <c r="P474" s="7">
        <v>3.4100000000000005E-2</v>
      </c>
      <c r="Q474" s="7">
        <v>2.7624309392266788E-3</v>
      </c>
      <c r="R474" s="7">
        <v>5.5326E-2</v>
      </c>
      <c r="S474" s="7">
        <v>4.8999999999999998E-3</v>
      </c>
    </row>
    <row r="475" spans="1:19" x14ac:dyDescent="0.3">
      <c r="A475" s="3">
        <v>198606</v>
      </c>
      <c r="B475" s="6">
        <f t="shared" si="14"/>
        <v>1.0434822215656135E-2</v>
      </c>
      <c r="C475" s="4">
        <f t="shared" si="15"/>
        <v>1.0544000000000001E-2</v>
      </c>
      <c r="D475" s="5">
        <v>3.22915005581247E-2</v>
      </c>
      <c r="E475" s="5">
        <v>3.274711946634324E-2</v>
      </c>
      <c r="F475" s="7">
        <v>5.8642959655557332E-2</v>
      </c>
      <c r="G475" s="7">
        <v>0.55064581917063216</v>
      </c>
      <c r="H475" s="7">
        <v>1.5965185338466675E-3</v>
      </c>
      <c r="I475" s="7">
        <v>0.49928145737351537</v>
      </c>
      <c r="J475" s="7">
        <v>-1.2293238469675633E-2</v>
      </c>
      <c r="K475" s="8">
        <v>6.2100000000000002E-2</v>
      </c>
      <c r="L475" s="8">
        <v>7.9000000000000001E-2</v>
      </c>
      <c r="M475" s="8">
        <v>6.13E-2</v>
      </c>
      <c r="N475" s="7">
        <v>1.6899999999999998E-2</v>
      </c>
      <c r="O475" s="7">
        <v>1.2099999999999986E-2</v>
      </c>
      <c r="P475" s="7">
        <v>-3.95E-2</v>
      </c>
      <c r="Q475" s="7">
        <v>5.5096418732782926E-3</v>
      </c>
      <c r="R475" s="7">
        <v>1.5744000000000001E-2</v>
      </c>
      <c r="S475" s="7">
        <v>5.1999999999999998E-3</v>
      </c>
    </row>
    <row r="476" spans="1:19" x14ac:dyDescent="0.3">
      <c r="A476" s="3">
        <v>198607</v>
      </c>
      <c r="B476" s="6">
        <f t="shared" si="14"/>
        <v>-6.4449388619741407E-2</v>
      </c>
      <c r="C476" s="4">
        <f t="shared" si="15"/>
        <v>-6.2741000000000005E-2</v>
      </c>
      <c r="D476" s="5">
        <v>3.4488099271556841E-2</v>
      </c>
      <c r="E476" s="5">
        <v>3.2464240153085633E-2</v>
      </c>
      <c r="F476" s="7">
        <v>6.2496611892258178E-2</v>
      </c>
      <c r="G476" s="7">
        <v>0.55183950341200949</v>
      </c>
      <c r="H476" s="7">
        <v>2.4158243147247263E-3</v>
      </c>
      <c r="I476" s="7">
        <v>0.53230140088209943</v>
      </c>
      <c r="J476" s="7">
        <v>-1.1286035053009725E-2</v>
      </c>
      <c r="K476" s="8">
        <v>5.8299999999999998E-2</v>
      </c>
      <c r="L476" s="8">
        <v>8.09E-2</v>
      </c>
      <c r="M476" s="8">
        <v>-1.0800000000000001E-2</v>
      </c>
      <c r="N476" s="7">
        <v>2.2600000000000002E-2</v>
      </c>
      <c r="O476" s="7">
        <v>1.2799999999999992E-2</v>
      </c>
      <c r="P476" s="7">
        <v>1.3900000000000001E-2</v>
      </c>
      <c r="Q476" s="7">
        <v>0</v>
      </c>
      <c r="R476" s="7">
        <v>-5.7541000000000002E-2</v>
      </c>
      <c r="S476" s="7">
        <v>5.1999999999999998E-3</v>
      </c>
    </row>
    <row r="477" spans="1:19" x14ac:dyDescent="0.3">
      <c r="A477" s="3">
        <v>198608</v>
      </c>
      <c r="B477" s="6">
        <f t="shared" si="14"/>
        <v>6.7188736552714692E-2</v>
      </c>
      <c r="C477" s="4">
        <f t="shared" si="15"/>
        <v>6.981699999999999E-2</v>
      </c>
      <c r="D477" s="5">
        <v>3.2367334835725299E-2</v>
      </c>
      <c r="E477" s="5">
        <v>3.4671650008470264E-2</v>
      </c>
      <c r="F477" s="7">
        <v>5.8527260506859607E-2</v>
      </c>
      <c r="G477" s="7">
        <v>0.55303006762005769</v>
      </c>
      <c r="H477" s="7">
        <v>1.2605845884667297E-3</v>
      </c>
      <c r="I477" s="7">
        <v>0.49780334397420906</v>
      </c>
      <c r="J477" s="7">
        <v>-9.6769542945208328E-3</v>
      </c>
      <c r="K477" s="8">
        <v>5.5300000000000002E-2</v>
      </c>
      <c r="L477" s="8">
        <v>7.6300000000000007E-2</v>
      </c>
      <c r="M477" s="8">
        <v>4.99E-2</v>
      </c>
      <c r="N477" s="7">
        <v>2.1000000000000005E-2</v>
      </c>
      <c r="O477" s="7">
        <v>1.4600000000000002E-2</v>
      </c>
      <c r="P477" s="7">
        <v>-2.24E-2</v>
      </c>
      <c r="Q477" s="7">
        <v>1.8264840182649067E-3</v>
      </c>
      <c r="R477" s="7">
        <v>7.4416999999999997E-2</v>
      </c>
      <c r="S477" s="7">
        <v>4.5999999999999999E-3</v>
      </c>
    </row>
    <row r="478" spans="1:19" x14ac:dyDescent="0.3">
      <c r="A478" s="3">
        <v>198609</v>
      </c>
      <c r="B478" s="6">
        <f t="shared" si="14"/>
        <v>-9.1402741663220599E-2</v>
      </c>
      <c r="C478" s="4">
        <f t="shared" si="15"/>
        <v>-8.7743000000000002E-2</v>
      </c>
      <c r="D478" s="5">
        <v>3.5578419505447004E-2</v>
      </c>
      <c r="E478" s="5">
        <v>3.2538647056497845E-2</v>
      </c>
      <c r="F478" s="7">
        <v>6.4196783676292585E-2</v>
      </c>
      <c r="G478" s="7">
        <v>0.55420875420875426</v>
      </c>
      <c r="H478" s="7">
        <v>4.2073830013975655E-3</v>
      </c>
      <c r="I478" s="7">
        <v>0.53462926713359515</v>
      </c>
      <c r="J478" s="7">
        <v>-5.1386582204012397E-3</v>
      </c>
      <c r="K478" s="8">
        <v>5.21E-2</v>
      </c>
      <c r="L478" s="8">
        <v>8.2699999999999996E-2</v>
      </c>
      <c r="M478" s="8">
        <v>-0.05</v>
      </c>
      <c r="N478" s="7">
        <v>3.0599999999999995E-2</v>
      </c>
      <c r="O478" s="7">
        <v>1.3099999999999987E-2</v>
      </c>
      <c r="P478" s="7">
        <v>3.8600000000000002E-2</v>
      </c>
      <c r="Q478" s="7">
        <v>4.5578851412944044E-3</v>
      </c>
      <c r="R478" s="7">
        <v>-8.3242999999999998E-2</v>
      </c>
      <c r="S478" s="7">
        <v>4.5000000000000005E-3</v>
      </c>
    </row>
    <row r="479" spans="1:19" x14ac:dyDescent="0.3">
      <c r="A479" s="3">
        <v>198610</v>
      </c>
      <c r="B479" s="6">
        <f t="shared" si="14"/>
        <v>5.0408072911608488E-2</v>
      </c>
      <c r="C479" s="4">
        <f t="shared" si="15"/>
        <v>5.1937999999999998E-2</v>
      </c>
      <c r="D479" s="5">
        <v>3.3800598409705715E-2</v>
      </c>
      <c r="E479" s="5">
        <v>3.5650484177762405E-2</v>
      </c>
      <c r="F479" s="7">
        <v>6.0360275432412493E-2</v>
      </c>
      <c r="G479" s="7">
        <v>0.55998085110717266</v>
      </c>
      <c r="H479" s="7">
        <v>9.9059382946196125E-4</v>
      </c>
      <c r="I479" s="7">
        <v>0.5032458022909666</v>
      </c>
      <c r="J479" s="7">
        <v>-8.02546100396773E-3</v>
      </c>
      <c r="K479" s="8">
        <v>5.1799999999999999E-2</v>
      </c>
      <c r="L479" s="8">
        <v>8.0299999999999996E-2</v>
      </c>
      <c r="M479" s="8">
        <v>2.8899999999999999E-2</v>
      </c>
      <c r="N479" s="7">
        <v>2.8499999999999998E-2</v>
      </c>
      <c r="O479" s="7">
        <v>1.3800000000000007E-2</v>
      </c>
      <c r="P479" s="7">
        <v>-9.9999999999999985E-3</v>
      </c>
      <c r="Q479" s="7">
        <v>9.0744101633388752E-4</v>
      </c>
      <c r="R479" s="7">
        <v>5.6537999999999998E-2</v>
      </c>
      <c r="S479" s="7">
        <v>4.5999999999999999E-3</v>
      </c>
    </row>
    <row r="480" spans="1:19" x14ac:dyDescent="0.3">
      <c r="A480" s="3">
        <v>198611</v>
      </c>
      <c r="B480" s="6">
        <f t="shared" si="14"/>
        <v>2.0679214947132155E-2</v>
      </c>
      <c r="C480" s="4">
        <f t="shared" si="15"/>
        <v>2.0975999999999998E-2</v>
      </c>
      <c r="D480" s="5">
        <v>3.3156769119653318E-2</v>
      </c>
      <c r="E480" s="5">
        <v>3.3868882695302895E-2</v>
      </c>
      <c r="F480" s="7">
        <v>5.8596019581093013E-2</v>
      </c>
      <c r="G480" s="7">
        <v>0.56585360843097099</v>
      </c>
      <c r="H480" s="7">
        <v>1.730856541817946E-3</v>
      </c>
      <c r="I480" s="7">
        <v>0.49367108445693569</v>
      </c>
      <c r="J480" s="7">
        <v>-2.125378849964108E-3</v>
      </c>
      <c r="K480" s="8">
        <v>5.3499999999999999E-2</v>
      </c>
      <c r="L480" s="8">
        <v>7.7899999999999997E-2</v>
      </c>
      <c r="M480" s="8">
        <v>2.6700000000000002E-2</v>
      </c>
      <c r="N480" s="7">
        <v>2.4399999999999998E-2</v>
      </c>
      <c r="O480" s="7">
        <v>1.3899999999999996E-2</v>
      </c>
      <c r="P480" s="7">
        <v>-3.4000000000000002E-3</v>
      </c>
      <c r="Q480" s="7">
        <v>9.066183136900996E-4</v>
      </c>
      <c r="R480" s="7">
        <v>2.4875999999999999E-2</v>
      </c>
      <c r="S480" s="7">
        <v>3.9000000000000003E-3</v>
      </c>
    </row>
    <row r="481" spans="1:19" x14ac:dyDescent="0.3">
      <c r="A481" s="3">
        <v>198612</v>
      </c>
      <c r="B481" s="6">
        <f t="shared" si="14"/>
        <v>-3.2786605260913357E-2</v>
      </c>
      <c r="C481" s="4">
        <f t="shared" si="15"/>
        <v>-3.2412999999999997E-2</v>
      </c>
      <c r="D481" s="5">
        <v>3.4190857661972995E-2</v>
      </c>
      <c r="E481" s="5">
        <v>3.3223657812374609E-2</v>
      </c>
      <c r="F481" s="7">
        <v>5.9792707602097706E-2</v>
      </c>
      <c r="G481" s="7">
        <v>0.57182320441988943</v>
      </c>
      <c r="H481" s="7">
        <v>1.2623422855547576E-3</v>
      </c>
      <c r="I481" s="7">
        <v>0.49843086579287427</v>
      </c>
      <c r="J481" s="7">
        <v>-1.1376972740397232E-2</v>
      </c>
      <c r="K481" s="8">
        <v>5.5300000000000002E-2</v>
      </c>
      <c r="L481" s="8">
        <v>7.8899999999999998E-2</v>
      </c>
      <c r="M481" s="8">
        <v>-1.8E-3</v>
      </c>
      <c r="N481" s="7">
        <v>2.3599999999999996E-2</v>
      </c>
      <c r="O481" s="7">
        <v>1.4800000000000008E-2</v>
      </c>
      <c r="P481" s="7">
        <v>1.35E-2</v>
      </c>
      <c r="Q481" s="7">
        <v>9.0579710144922387E-4</v>
      </c>
      <c r="R481" s="7">
        <v>-2.7512999999999999E-2</v>
      </c>
      <c r="S481" s="7">
        <v>4.8999999999999998E-3</v>
      </c>
    </row>
    <row r="482" spans="1:19" x14ac:dyDescent="0.3">
      <c r="A482" s="3">
        <v>198701</v>
      </c>
      <c r="B482" s="6">
        <f t="shared" si="14"/>
        <v>0.1226026667983536</v>
      </c>
      <c r="C482" s="4">
        <f t="shared" si="15"/>
        <v>0.13098299999999999</v>
      </c>
      <c r="D482" s="5">
        <v>3.0283129013426741E-2</v>
      </c>
      <c r="E482" s="5">
        <v>3.4273444274683082E-2</v>
      </c>
      <c r="F482" s="7">
        <v>5.3585449503794513E-2</v>
      </c>
      <c r="G482" s="7">
        <v>0.56513716491791899</v>
      </c>
      <c r="H482" s="7">
        <v>2.4782274345241219E-3</v>
      </c>
      <c r="I482" s="7">
        <v>0.43789735130025392</v>
      </c>
      <c r="J482" s="7">
        <v>-5.8415222258287524E-3</v>
      </c>
      <c r="K482" s="8">
        <v>5.4299999999999994E-2</v>
      </c>
      <c r="L482" s="8">
        <v>7.7799999999999994E-2</v>
      </c>
      <c r="M482" s="8">
        <v>1.61E-2</v>
      </c>
      <c r="N482" s="7">
        <v>2.35E-2</v>
      </c>
      <c r="O482" s="7">
        <v>1.3600000000000015E-2</v>
      </c>
      <c r="P482" s="7">
        <v>5.5000000000000014E-3</v>
      </c>
      <c r="Q482" s="7">
        <v>6.3348416289592535E-3</v>
      </c>
      <c r="R482" s="7">
        <v>0.135183</v>
      </c>
      <c r="S482" s="7">
        <v>4.1999999999999997E-3</v>
      </c>
    </row>
    <row r="483" spans="1:19" x14ac:dyDescent="0.3">
      <c r="A483" s="3">
        <v>198702</v>
      </c>
      <c r="B483" s="6">
        <f t="shared" si="14"/>
        <v>3.6638087391838714E-2</v>
      </c>
      <c r="C483" s="4">
        <f t="shared" si="15"/>
        <v>3.7478000000000004E-2</v>
      </c>
      <c r="D483" s="5">
        <v>2.9275158339197749E-2</v>
      </c>
      <c r="E483" s="5">
        <v>3.0356100408639817E-2</v>
      </c>
      <c r="F483" s="7">
        <v>5.2404292751583391E-2</v>
      </c>
      <c r="G483" s="7">
        <v>0.55864046248984445</v>
      </c>
      <c r="H483" s="7">
        <v>1.412246607780315E-3</v>
      </c>
      <c r="I483" s="7">
        <v>0.42491198251790707</v>
      </c>
      <c r="J483" s="7">
        <v>-4.5067674623027101E-3</v>
      </c>
      <c r="K483" s="8">
        <v>5.5899999999999998E-2</v>
      </c>
      <c r="L483" s="8">
        <v>7.6300000000000007E-2</v>
      </c>
      <c r="M483" s="8">
        <v>2.0199999999999999E-2</v>
      </c>
      <c r="N483" s="7">
        <v>2.0400000000000008E-2</v>
      </c>
      <c r="O483" s="7">
        <v>1.2699999999999989E-2</v>
      </c>
      <c r="P483" s="7">
        <v>-1.44E-2</v>
      </c>
      <c r="Q483" s="7">
        <v>3.597122302158251E-3</v>
      </c>
      <c r="R483" s="7">
        <v>4.1778000000000003E-2</v>
      </c>
      <c r="S483" s="7">
        <v>4.3E-3</v>
      </c>
    </row>
    <row r="484" spans="1:19" x14ac:dyDescent="0.3">
      <c r="A484" s="3">
        <v>198703</v>
      </c>
      <c r="B484" s="6">
        <f t="shared" si="14"/>
        <v>2.1306189030930466E-2</v>
      </c>
      <c r="C484" s="4">
        <f t="shared" si="15"/>
        <v>2.1635999999999999E-2</v>
      </c>
      <c r="D484" s="5">
        <v>2.8591018169352073E-2</v>
      </c>
      <c r="E484" s="5">
        <v>2.9345531315974668E-2</v>
      </c>
      <c r="F484" s="7">
        <v>5.1765512512855674E-2</v>
      </c>
      <c r="G484" s="7">
        <v>0.55231788079470201</v>
      </c>
      <c r="H484" s="7">
        <v>1.9710952636649215E-3</v>
      </c>
      <c r="I484" s="7">
        <v>0.42804021365129363</v>
      </c>
      <c r="J484" s="7">
        <v>-2.2182415117624277E-3</v>
      </c>
      <c r="K484" s="8">
        <v>5.5899999999999998E-2</v>
      </c>
      <c r="L484" s="8">
        <v>7.9500000000000001E-2</v>
      </c>
      <c r="M484" s="8">
        <v>-2.23E-2</v>
      </c>
      <c r="N484" s="7">
        <v>2.3600000000000003E-2</v>
      </c>
      <c r="O484" s="7">
        <v>1.2499999999999997E-2</v>
      </c>
      <c r="P484" s="7">
        <v>1.3600000000000001E-2</v>
      </c>
      <c r="Q484" s="7">
        <v>4.4802867383513245E-3</v>
      </c>
      <c r="R484" s="7">
        <v>2.6335999999999998E-2</v>
      </c>
      <c r="S484" s="7">
        <v>4.6999999999999993E-3</v>
      </c>
    </row>
    <row r="485" spans="1:19" x14ac:dyDescent="0.3">
      <c r="A485" s="3">
        <v>198704</v>
      </c>
      <c r="B485" s="6">
        <f t="shared" si="14"/>
        <v>-1.3476502662550047E-2</v>
      </c>
      <c r="C485" s="4">
        <f t="shared" si="15"/>
        <v>-1.3444999999999999E-2</v>
      </c>
      <c r="D485" s="5">
        <v>2.9130253849354974E-2</v>
      </c>
      <c r="E485" s="5">
        <v>2.8796708947548853E-2</v>
      </c>
      <c r="F485" s="7">
        <v>5.1578929116382302E-2</v>
      </c>
      <c r="G485" s="7">
        <v>0.56477042754466056</v>
      </c>
      <c r="H485" s="7">
        <v>4.1939062575546337E-3</v>
      </c>
      <c r="I485" s="7">
        <v>0.43147185919977604</v>
      </c>
      <c r="J485" s="7">
        <v>4.4921799445633275E-3</v>
      </c>
      <c r="K485" s="8">
        <v>5.6399999999999999E-2</v>
      </c>
      <c r="L485" s="8">
        <v>8.5900000000000004E-2</v>
      </c>
      <c r="M485" s="8">
        <v>-4.7300000000000002E-2</v>
      </c>
      <c r="N485" s="7">
        <v>2.9500000000000005E-2</v>
      </c>
      <c r="O485" s="7">
        <v>1.1899999999999994E-2</v>
      </c>
      <c r="P485" s="7">
        <v>-2.8999999999999998E-3</v>
      </c>
      <c r="Q485" s="7">
        <v>5.3523639607493401E-3</v>
      </c>
      <c r="R485" s="7">
        <v>-9.0449999999999992E-3</v>
      </c>
      <c r="S485" s="7">
        <v>4.4000000000000003E-3</v>
      </c>
    </row>
    <row r="486" spans="1:19" x14ac:dyDescent="0.3">
      <c r="A486" s="3">
        <v>198705</v>
      </c>
      <c r="B486" s="6">
        <f t="shared" si="14"/>
        <v>5.293793362465396E-3</v>
      </c>
      <c r="C486" s="4">
        <f t="shared" si="15"/>
        <v>5.3280000000000011E-3</v>
      </c>
      <c r="D486" s="5">
        <v>2.9162357807652535E-2</v>
      </c>
      <c r="E486" s="5">
        <v>2.9338327091136082E-2</v>
      </c>
      <c r="F486" s="7">
        <v>5.0488452257842119E-2</v>
      </c>
      <c r="G486" s="7">
        <v>0.57760451159646897</v>
      </c>
      <c r="H486" s="7">
        <v>2.4892339107077223E-3</v>
      </c>
      <c r="I486" s="7">
        <v>0.43049088616101622</v>
      </c>
      <c r="J486" s="7">
        <v>6.9401383151937706E-3</v>
      </c>
      <c r="K486" s="8">
        <v>5.6600000000000004E-2</v>
      </c>
      <c r="L486" s="8">
        <v>8.7999999999999995E-2</v>
      </c>
      <c r="M486" s="8">
        <v>-1.0500000000000001E-2</v>
      </c>
      <c r="N486" s="7">
        <v>3.139999999999999E-2</v>
      </c>
      <c r="O486" s="7">
        <v>1.1800000000000005E-2</v>
      </c>
      <c r="P486" s="7">
        <v>5.3000000000000009E-3</v>
      </c>
      <c r="Q486" s="7">
        <v>3.549245785270605E-3</v>
      </c>
      <c r="R486" s="7">
        <v>9.1280000000000007E-3</v>
      </c>
      <c r="S486" s="7">
        <v>3.8E-3</v>
      </c>
    </row>
    <row r="487" spans="1:19" x14ac:dyDescent="0.3">
      <c r="A487" s="3">
        <v>198706</v>
      </c>
      <c r="B487" s="6">
        <f t="shared" si="14"/>
        <v>4.4134971882869467E-2</v>
      </c>
      <c r="C487" s="4">
        <f t="shared" si="15"/>
        <v>4.5339999999999998E-2</v>
      </c>
      <c r="D487" s="5">
        <v>2.8026315789473684E-2</v>
      </c>
      <c r="E487" s="5">
        <v>2.9369183040330916E-2</v>
      </c>
      <c r="F487" s="7">
        <v>4.7434210526315787E-2</v>
      </c>
      <c r="G487" s="7">
        <v>0.59084604715672673</v>
      </c>
      <c r="H487" s="7">
        <v>1.0704212049148251E-3</v>
      </c>
      <c r="I487" s="7">
        <v>0.40789239744803657</v>
      </c>
      <c r="J487" s="7">
        <v>5.2016795852218778E-3</v>
      </c>
      <c r="K487" s="8">
        <v>5.67E-2</v>
      </c>
      <c r="L487" s="8">
        <v>8.77E-2</v>
      </c>
      <c r="M487" s="8">
        <v>9.7999999999999997E-3</v>
      </c>
      <c r="N487" s="7">
        <v>3.1E-2</v>
      </c>
      <c r="O487" s="7">
        <v>1.1999999999999997E-2</v>
      </c>
      <c r="P487" s="7">
        <v>5.7000000000000002E-3</v>
      </c>
      <c r="Q487" s="7">
        <v>3.5366931918656697E-3</v>
      </c>
      <c r="R487" s="7">
        <v>5.0139999999999997E-2</v>
      </c>
      <c r="S487" s="7">
        <v>4.7999999999999996E-3</v>
      </c>
    </row>
    <row r="488" spans="1:19" x14ac:dyDescent="0.3">
      <c r="A488" s="3">
        <v>198707</v>
      </c>
      <c r="B488" s="6">
        <f t="shared" si="14"/>
        <v>4.4051176846301797E-2</v>
      </c>
      <c r="C488" s="4">
        <f t="shared" si="15"/>
        <v>4.5242999999999998E-2</v>
      </c>
      <c r="D488" s="5">
        <v>2.6883418063139396E-2</v>
      </c>
      <c r="E488" s="5">
        <v>2.817983552631579E-2</v>
      </c>
      <c r="F488" s="7">
        <v>4.6758300382853196E-2</v>
      </c>
      <c r="G488" s="7">
        <v>0.57494429530201341</v>
      </c>
      <c r="H488" s="7">
        <v>8.1815998313496336E-4</v>
      </c>
      <c r="I488" s="7">
        <v>0.38354321616441228</v>
      </c>
      <c r="J488" s="7">
        <v>1.8814480365607292E-3</v>
      </c>
      <c r="K488" s="8">
        <v>5.6900000000000006E-2</v>
      </c>
      <c r="L488" s="8">
        <v>9.0700000000000003E-2</v>
      </c>
      <c r="M488" s="8">
        <v>-1.78E-2</v>
      </c>
      <c r="N488" s="7">
        <v>3.3799999999999997E-2</v>
      </c>
      <c r="O488" s="7">
        <v>1.1899999999999994E-2</v>
      </c>
      <c r="P488" s="7">
        <v>5.899999999999999E-3</v>
      </c>
      <c r="Q488" s="7">
        <v>2.6431718061674658E-3</v>
      </c>
      <c r="R488" s="7">
        <v>4.9842999999999998E-2</v>
      </c>
      <c r="S488" s="7">
        <v>4.5999999999999999E-3</v>
      </c>
    </row>
    <row r="489" spans="1:19" x14ac:dyDescent="0.3">
      <c r="A489" s="3">
        <v>198708</v>
      </c>
      <c r="B489" s="6">
        <f t="shared" si="14"/>
        <v>3.3673663330958253E-2</v>
      </c>
      <c r="C489" s="4">
        <f t="shared" si="15"/>
        <v>3.4407999999999994E-2</v>
      </c>
      <c r="D489" s="5">
        <v>2.6116828380836867E-2</v>
      </c>
      <c r="E489" s="5">
        <v>2.7029843720579923E-2</v>
      </c>
      <c r="F489" s="7">
        <v>4.6634323832625835E-2</v>
      </c>
      <c r="G489" s="7">
        <v>0.56003446033810134</v>
      </c>
      <c r="H489" s="7">
        <v>1.7761286189096474E-3</v>
      </c>
      <c r="I489" s="7">
        <v>0.37045382001164123</v>
      </c>
      <c r="J489" s="7">
        <v>1.9967095503672415E-3</v>
      </c>
      <c r="K489" s="8">
        <v>6.0400000000000002E-2</v>
      </c>
      <c r="L489" s="8">
        <v>9.3600000000000003E-2</v>
      </c>
      <c r="M489" s="8">
        <v>-1.6500000000000001E-2</v>
      </c>
      <c r="N489" s="7">
        <v>3.32E-2</v>
      </c>
      <c r="O489" s="7">
        <v>1.1300000000000018E-2</v>
      </c>
      <c r="P489" s="7">
        <v>9.0000000000000011E-3</v>
      </c>
      <c r="Q489" s="7">
        <v>5.2724077328647478E-3</v>
      </c>
      <c r="R489" s="7">
        <v>3.9107999999999997E-2</v>
      </c>
      <c r="S489" s="7">
        <v>4.6999999999999993E-3</v>
      </c>
    </row>
    <row r="490" spans="1:19" x14ac:dyDescent="0.3">
      <c r="A490" s="3">
        <v>198709</v>
      </c>
      <c r="B490" s="6">
        <f t="shared" si="14"/>
        <v>-2.6674166408735607E-2</v>
      </c>
      <c r="C490" s="4">
        <f t="shared" si="15"/>
        <v>-2.6440000000000002E-2</v>
      </c>
      <c r="D490" s="5">
        <v>2.6908616350247026E-2</v>
      </c>
      <c r="E490" s="5">
        <v>2.6258338386901153E-2</v>
      </c>
      <c r="F490" s="7">
        <v>4.9280676133362337E-2</v>
      </c>
      <c r="G490" s="7">
        <v>0.5460277427490543</v>
      </c>
      <c r="H490" s="7">
        <v>2.5348306494626599E-3</v>
      </c>
      <c r="I490" s="7">
        <v>0.37996672161708289</v>
      </c>
      <c r="J490" s="7">
        <v>6.3495887695929195E-3</v>
      </c>
      <c r="K490" s="8">
        <v>6.4000000000000001E-2</v>
      </c>
      <c r="L490" s="8">
        <v>9.9199999999999997E-2</v>
      </c>
      <c r="M490" s="8">
        <v>-3.6900000000000002E-2</v>
      </c>
      <c r="N490" s="7">
        <v>3.5199999999999995E-2</v>
      </c>
      <c r="O490" s="7">
        <v>1.1300000000000004E-2</v>
      </c>
      <c r="P490" s="7">
        <v>-5.2999999999999992E-3</v>
      </c>
      <c r="Q490" s="7">
        <v>5.2447552447552059E-3</v>
      </c>
      <c r="R490" s="7">
        <v>-2.1940000000000001E-2</v>
      </c>
      <c r="S490" s="7">
        <v>4.5000000000000005E-3</v>
      </c>
    </row>
    <row r="491" spans="1:19" x14ac:dyDescent="0.3">
      <c r="A491" s="3">
        <v>198710</v>
      </c>
      <c r="B491" s="6">
        <f t="shared" si="14"/>
        <v>-0.24906688489727027</v>
      </c>
      <c r="C491" s="4">
        <f t="shared" si="15"/>
        <v>-0.22179499999999999</v>
      </c>
      <c r="D491" s="5">
        <v>3.4592318995988726E-2</v>
      </c>
      <c r="E491" s="5">
        <v>2.7063977876518663E-2</v>
      </c>
      <c r="F491" s="7">
        <v>6.5160252591445256E-2</v>
      </c>
      <c r="G491" s="7">
        <v>0.53088067679667461</v>
      </c>
      <c r="H491" s="7">
        <v>7.0945137916561138E-2</v>
      </c>
      <c r="I491" s="7">
        <v>0.49485084247540795</v>
      </c>
      <c r="J491" s="7">
        <v>1.0477739374282211E-2</v>
      </c>
      <c r="K491" s="8">
        <v>6.13E-2</v>
      </c>
      <c r="L491" s="8">
        <v>9.2600000000000002E-2</v>
      </c>
      <c r="M491" s="8">
        <v>6.2300000000000001E-2</v>
      </c>
      <c r="N491" s="7">
        <v>3.1300000000000001E-2</v>
      </c>
      <c r="O491" s="7">
        <v>1.0999999999999996E-2</v>
      </c>
      <c r="P491" s="7">
        <v>-1.1599999999999999E-2</v>
      </c>
      <c r="Q491" s="7">
        <v>2.6086956521738092E-3</v>
      </c>
      <c r="R491" s="7">
        <v>-0.21579499999999999</v>
      </c>
      <c r="S491" s="7">
        <v>6.0000000000000001E-3</v>
      </c>
    </row>
    <row r="492" spans="1:19" x14ac:dyDescent="0.3">
      <c r="A492" s="3">
        <v>198711</v>
      </c>
      <c r="B492" s="6">
        <f t="shared" si="14"/>
        <v>-8.8914532132533877E-2</v>
      </c>
      <c r="C492" s="4">
        <f t="shared" si="15"/>
        <v>-8.5374000000000005E-2</v>
      </c>
      <c r="D492" s="5">
        <v>3.8037342596613108E-2</v>
      </c>
      <c r="E492" s="5">
        <v>3.4790897176218277E-2</v>
      </c>
      <c r="F492" s="7">
        <v>7.3613981762917918E-2</v>
      </c>
      <c r="G492" s="7">
        <v>0.51671356019182113</v>
      </c>
      <c r="H492" s="7">
        <v>6.7854547001125944E-3</v>
      </c>
      <c r="I492" s="7">
        <v>0.53802732404352216</v>
      </c>
      <c r="J492" s="7">
        <v>9.8984409867692181E-3</v>
      </c>
      <c r="K492" s="8">
        <v>5.6900000000000006E-2</v>
      </c>
      <c r="L492" s="8">
        <v>9.3100000000000002E-2</v>
      </c>
      <c r="M492" s="8">
        <v>3.7000000000000002E-3</v>
      </c>
      <c r="N492" s="7">
        <v>3.6199999999999996E-2</v>
      </c>
      <c r="O492" s="7">
        <v>1.2200000000000016E-2</v>
      </c>
      <c r="P492" s="7">
        <v>8.8000000000000005E-3</v>
      </c>
      <c r="Q492" s="7">
        <v>8.6730268863832727E-4</v>
      </c>
      <c r="R492" s="7">
        <v>-8.1874000000000002E-2</v>
      </c>
      <c r="S492" s="7">
        <v>3.4999999999999996E-3</v>
      </c>
    </row>
    <row r="493" spans="1:19" x14ac:dyDescent="0.3">
      <c r="A493" s="3">
        <v>198712</v>
      </c>
      <c r="B493" s="6">
        <f t="shared" si="14"/>
        <v>6.7424953035631383E-2</v>
      </c>
      <c r="C493" s="4">
        <f t="shared" si="15"/>
        <v>7.0022000000000001E-2</v>
      </c>
      <c r="D493" s="5">
        <v>3.5656467540877451E-2</v>
      </c>
      <c r="E493" s="5">
        <v>3.8254450716456799E-2</v>
      </c>
      <c r="F493" s="7">
        <v>7.0827262425125465E-2</v>
      </c>
      <c r="G493" s="7">
        <v>0.50342857142857145</v>
      </c>
      <c r="H493" s="7">
        <v>6.8521878816204373E-3</v>
      </c>
      <c r="I493" s="7">
        <v>0.50881201549388033</v>
      </c>
      <c r="J493" s="7">
        <v>1.3274757067494015E-2</v>
      </c>
      <c r="K493" s="8">
        <v>5.7699999999999994E-2</v>
      </c>
      <c r="L493" s="8">
        <v>9.1999999999999998E-2</v>
      </c>
      <c r="M493" s="8">
        <v>1.6500000000000001E-2</v>
      </c>
      <c r="N493" s="7">
        <v>3.4300000000000004E-2</v>
      </c>
      <c r="O493" s="7">
        <v>1.1799999999999991E-2</v>
      </c>
      <c r="P493" s="7">
        <v>4.6999999999999993E-3</v>
      </c>
      <c r="Q493" s="7">
        <v>0</v>
      </c>
      <c r="R493" s="7">
        <v>7.3922000000000002E-2</v>
      </c>
      <c r="S493" s="7">
        <v>3.9000000000000003E-3</v>
      </c>
    </row>
    <row r="494" spans="1:19" x14ac:dyDescent="0.3">
      <c r="A494" s="3">
        <v>198801</v>
      </c>
      <c r="B494" s="6">
        <f t="shared" si="14"/>
        <v>3.8929208218646948E-2</v>
      </c>
      <c r="C494" s="4">
        <f t="shared" si="15"/>
        <v>3.9812E-2</v>
      </c>
      <c r="D494" s="5">
        <v>3.4452367059555761E-2</v>
      </c>
      <c r="E494" s="5">
        <v>3.5845353731584907E-2</v>
      </c>
      <c r="F494" s="7">
        <v>6.9488077177422489E-2</v>
      </c>
      <c r="G494" s="7">
        <v>0.49580256727480365</v>
      </c>
      <c r="H494" s="7">
        <v>9.1575079621744899E-3</v>
      </c>
      <c r="I494" s="7">
        <v>0.50377383542196486</v>
      </c>
      <c r="J494" s="7">
        <v>8.4227426641407029E-3</v>
      </c>
      <c r="K494" s="8">
        <v>5.8099999999999999E-2</v>
      </c>
      <c r="L494" s="8">
        <v>8.5199999999999998E-2</v>
      </c>
      <c r="M494" s="8">
        <v>6.6600000000000006E-2</v>
      </c>
      <c r="N494" s="7">
        <v>2.7099999999999999E-2</v>
      </c>
      <c r="O494" s="7">
        <v>1.1899999999999994E-2</v>
      </c>
      <c r="P494" s="7">
        <v>-1.4900000000000004E-2</v>
      </c>
      <c r="Q494" s="7">
        <v>2.5996533795493715E-3</v>
      </c>
      <c r="R494" s="7">
        <v>4.2712E-2</v>
      </c>
      <c r="S494" s="7">
        <v>2.8999999999999998E-3</v>
      </c>
    </row>
    <row r="495" spans="1:19" x14ac:dyDescent="0.3">
      <c r="A495" s="3">
        <v>198802</v>
      </c>
      <c r="B495" s="6">
        <f t="shared" si="14"/>
        <v>4.1764413135274854E-2</v>
      </c>
      <c r="C495" s="4">
        <f t="shared" si="15"/>
        <v>4.2845000000000001E-2</v>
      </c>
      <c r="D495" s="5">
        <v>3.3243708460906581E-2</v>
      </c>
      <c r="E495" s="5">
        <v>3.4633874042089709E-2</v>
      </c>
      <c r="F495" s="7">
        <v>6.8055783735344641E-2</v>
      </c>
      <c r="G495" s="7">
        <v>0.48847734367713297</v>
      </c>
      <c r="H495" s="7">
        <v>1.9673462627366051E-3</v>
      </c>
      <c r="I495" s="7">
        <v>0.47619737210492274</v>
      </c>
      <c r="J495" s="7">
        <v>8.792264043856541E-3</v>
      </c>
      <c r="K495" s="8">
        <v>5.6600000000000004E-2</v>
      </c>
      <c r="L495" s="8">
        <v>8.5400000000000004E-2</v>
      </c>
      <c r="M495" s="8">
        <v>5.1999999999999998E-3</v>
      </c>
      <c r="N495" s="7">
        <v>2.8799999999999999E-2</v>
      </c>
      <c r="O495" s="7">
        <v>1.2199999999999989E-2</v>
      </c>
      <c r="P495" s="7">
        <v>8.6E-3</v>
      </c>
      <c r="Q495" s="7">
        <v>2.5929127052721768E-3</v>
      </c>
      <c r="R495" s="7">
        <v>4.7445000000000001E-2</v>
      </c>
      <c r="S495" s="7">
        <v>4.5999999999999999E-3</v>
      </c>
    </row>
    <row r="496" spans="1:19" x14ac:dyDescent="0.3">
      <c r="A496" s="3">
        <v>198803</v>
      </c>
      <c r="B496" s="6">
        <f t="shared" si="14"/>
        <v>-3.5723133119883496E-2</v>
      </c>
      <c r="C496" s="4">
        <f t="shared" si="15"/>
        <v>-3.5247000000000001E-2</v>
      </c>
      <c r="D496" s="5">
        <v>3.4570667078682067E-2</v>
      </c>
      <c r="E496" s="5">
        <v>3.3417967291464415E-2</v>
      </c>
      <c r="F496" s="7">
        <v>7.1806558770134032E-2</v>
      </c>
      <c r="G496" s="7">
        <v>0.4814416352877891</v>
      </c>
      <c r="H496" s="7">
        <v>1.6591988172579032E-3</v>
      </c>
      <c r="I496" s="7">
        <v>0.5075299538243313</v>
      </c>
      <c r="J496" s="7">
        <v>6.0800296571685347E-3</v>
      </c>
      <c r="K496" s="8">
        <v>5.7000000000000002E-2</v>
      </c>
      <c r="L496" s="8">
        <v>9.01E-2</v>
      </c>
      <c r="M496" s="8">
        <v>-3.0700000000000002E-2</v>
      </c>
      <c r="N496" s="7">
        <v>3.3099999999999997E-2</v>
      </c>
      <c r="O496" s="7">
        <v>1.1799999999999991E-2</v>
      </c>
      <c r="P496" s="7">
        <v>1.1900000000000001E-2</v>
      </c>
      <c r="Q496" s="7">
        <v>4.3103448275862988E-3</v>
      </c>
      <c r="R496" s="7">
        <v>-3.0846999999999999E-2</v>
      </c>
      <c r="S496" s="7">
        <v>4.4000000000000003E-3</v>
      </c>
    </row>
    <row r="497" spans="1:19" x14ac:dyDescent="0.3">
      <c r="A497" s="3">
        <v>198804</v>
      </c>
      <c r="B497" s="6">
        <f t="shared" si="14"/>
        <v>5.8716391480494266E-3</v>
      </c>
      <c r="C497" s="4">
        <f t="shared" si="15"/>
        <v>5.9159999999999994E-3</v>
      </c>
      <c r="D497" s="5">
        <v>3.4605033227464638E-2</v>
      </c>
      <c r="E497" s="5">
        <v>3.4931180552873163E-2</v>
      </c>
      <c r="F497" s="7">
        <v>7.5064732968532763E-2</v>
      </c>
      <c r="G497" s="7">
        <v>0.46100254885301611</v>
      </c>
      <c r="H497" s="7">
        <v>3.4595610700594972E-3</v>
      </c>
      <c r="I497" s="7">
        <v>0.49647448987123155</v>
      </c>
      <c r="J497" s="7">
        <v>5.063670536507513E-3</v>
      </c>
      <c r="K497" s="8">
        <v>5.91E-2</v>
      </c>
      <c r="L497" s="8">
        <v>9.2899999999999996E-2</v>
      </c>
      <c r="M497" s="8">
        <v>-1.6E-2</v>
      </c>
      <c r="N497" s="7">
        <v>3.3799999999999997E-2</v>
      </c>
      <c r="O497" s="7">
        <v>1.2300000000000005E-2</v>
      </c>
      <c r="P497" s="7">
        <v>1.1000000000000003E-3</v>
      </c>
      <c r="Q497" s="7">
        <v>5.1502145922746045E-3</v>
      </c>
      <c r="R497" s="7">
        <v>1.0515999999999999E-2</v>
      </c>
      <c r="S497" s="7">
        <v>4.5999999999999999E-3</v>
      </c>
    </row>
    <row r="498" spans="1:19" x14ac:dyDescent="0.3">
      <c r="A498" s="3">
        <v>198805</v>
      </c>
      <c r="B498" s="6">
        <f t="shared" si="14"/>
        <v>2.8930352916632191E-3</v>
      </c>
      <c r="C498" s="4">
        <f t="shared" si="15"/>
        <v>2.9119999999999997E-3</v>
      </c>
      <c r="D498" s="5">
        <v>3.4851490184111482E-2</v>
      </c>
      <c r="E498" s="5">
        <v>3.4962180640059189E-2</v>
      </c>
      <c r="F498" s="7">
        <v>7.8743261112806426E-2</v>
      </c>
      <c r="G498" s="7">
        <v>0.44259647989665751</v>
      </c>
      <c r="H498" s="7">
        <v>2.5557731666023976E-3</v>
      </c>
      <c r="I498" s="7">
        <v>0.496770254834771</v>
      </c>
      <c r="J498" s="7">
        <v>1.3473049473883532E-3</v>
      </c>
      <c r="K498" s="8">
        <v>6.2600000000000003E-2</v>
      </c>
      <c r="L498" s="8">
        <v>9.5200000000000007E-2</v>
      </c>
      <c r="M498" s="8">
        <v>-1.0200000000000001E-2</v>
      </c>
      <c r="N498" s="7">
        <v>3.2600000000000004E-2</v>
      </c>
      <c r="O498" s="7">
        <v>1.1399999999999993E-2</v>
      </c>
      <c r="P498" s="7">
        <v>4.5000000000000005E-3</v>
      </c>
      <c r="Q498" s="7">
        <v>3.4158838599487318E-3</v>
      </c>
      <c r="R498" s="7">
        <v>8.012E-3</v>
      </c>
      <c r="S498" s="7">
        <v>5.1000000000000004E-3</v>
      </c>
    </row>
    <row r="499" spans="1:19" x14ac:dyDescent="0.3">
      <c r="A499" s="3">
        <v>198806</v>
      </c>
      <c r="B499" s="6">
        <f t="shared" si="14"/>
        <v>4.1686343720831749E-2</v>
      </c>
      <c r="C499" s="4">
        <f t="shared" si="15"/>
        <v>4.2776000000000002E-2</v>
      </c>
      <c r="D499" s="5">
        <v>3.374771480804388E-2</v>
      </c>
      <c r="E499" s="5">
        <v>3.5207506866036006E-2</v>
      </c>
      <c r="F499" s="7">
        <v>7.9232175502742239E-2</v>
      </c>
      <c r="G499" s="7">
        <v>0.42593447161975079</v>
      </c>
      <c r="H499" s="7">
        <v>2.361307703222956E-3</v>
      </c>
      <c r="I499" s="7">
        <v>0.47111887230297284</v>
      </c>
      <c r="J499" s="7">
        <v>-5.3979245142151116E-3</v>
      </c>
      <c r="K499" s="8">
        <v>6.4600000000000005E-2</v>
      </c>
      <c r="L499" s="8">
        <v>9.1700000000000004E-2</v>
      </c>
      <c r="M499" s="8">
        <v>3.6799999999999999E-2</v>
      </c>
      <c r="N499" s="7">
        <v>2.7099999999999999E-2</v>
      </c>
      <c r="O499" s="7">
        <v>1.1400000000000007E-2</v>
      </c>
      <c r="P499" s="7">
        <v>1.1000000000000038E-3</v>
      </c>
      <c r="Q499" s="7">
        <v>4.2553191489360653E-3</v>
      </c>
      <c r="R499" s="7">
        <v>4.7676000000000003E-2</v>
      </c>
      <c r="S499" s="7">
        <v>4.8999999999999998E-3</v>
      </c>
    </row>
    <row r="500" spans="1:19" x14ac:dyDescent="0.3">
      <c r="A500" s="3">
        <v>198807</v>
      </c>
      <c r="B500" s="6">
        <f t="shared" si="14"/>
        <v>-9.5550055620655643E-3</v>
      </c>
      <c r="C500" s="4">
        <f t="shared" si="15"/>
        <v>-9.5580000000000005E-3</v>
      </c>
      <c r="D500" s="5">
        <v>3.4213170600200966E-2</v>
      </c>
      <c r="E500" s="5">
        <v>3.4028031687995126E-2</v>
      </c>
      <c r="F500" s="7">
        <v>8.0962184153126004E-2</v>
      </c>
      <c r="G500" s="7">
        <v>0.42258210988345696</v>
      </c>
      <c r="H500" s="7">
        <v>1.9106187218270708E-3</v>
      </c>
      <c r="I500" s="7">
        <v>0.47399153485881251</v>
      </c>
      <c r="J500" s="7">
        <v>-2.8231293075667418E-3</v>
      </c>
      <c r="K500" s="8">
        <v>6.7299999999999999E-2</v>
      </c>
      <c r="L500" s="8">
        <v>9.4700000000000006E-2</v>
      </c>
      <c r="M500" s="8">
        <v>-1.7000000000000001E-2</v>
      </c>
      <c r="N500" s="7">
        <v>2.7400000000000008E-2</v>
      </c>
      <c r="O500" s="7">
        <v>1.1499999999999982E-2</v>
      </c>
      <c r="P500" s="7">
        <v>5.9000000000000007E-3</v>
      </c>
      <c r="Q500" s="7">
        <v>4.237288135593209E-3</v>
      </c>
      <c r="R500" s="7">
        <v>-4.4580000000000002E-3</v>
      </c>
      <c r="S500" s="7">
        <v>5.1000000000000004E-3</v>
      </c>
    </row>
    <row r="501" spans="1:19" x14ac:dyDescent="0.3">
      <c r="A501" s="3">
        <v>198808</v>
      </c>
      <c r="B501" s="6">
        <f t="shared" si="14"/>
        <v>-3.8910114212498279E-2</v>
      </c>
      <c r="C501" s="4">
        <f t="shared" si="15"/>
        <v>-3.8388000000000005E-2</v>
      </c>
      <c r="D501" s="5">
        <v>3.5879983685122879E-2</v>
      </c>
      <c r="E501" s="5">
        <v>3.4495012621620968E-2</v>
      </c>
      <c r="F501" s="7">
        <v>8.5563882940756619E-2</v>
      </c>
      <c r="G501" s="7">
        <v>0.41933561745866232</v>
      </c>
      <c r="H501" s="7">
        <v>1.3903193354966436E-3</v>
      </c>
      <c r="I501" s="7">
        <v>0.49664066153126768</v>
      </c>
      <c r="J501" s="7">
        <v>-6.2397484018402501E-3</v>
      </c>
      <c r="K501" s="8">
        <v>7.0599999999999996E-2</v>
      </c>
      <c r="L501" s="8">
        <v>9.5000000000000001E-2</v>
      </c>
      <c r="M501" s="8">
        <v>5.7999999999999996E-3</v>
      </c>
      <c r="N501" s="7">
        <v>2.4400000000000005E-2</v>
      </c>
      <c r="O501" s="7">
        <v>1.100000000000001E-2</v>
      </c>
      <c r="P501" s="7">
        <v>-3.9999999999999931E-4</v>
      </c>
      <c r="Q501" s="7">
        <v>4.2194092827003704E-3</v>
      </c>
      <c r="R501" s="7">
        <v>-3.2488000000000003E-2</v>
      </c>
      <c r="S501" s="7">
        <v>5.8999999999999999E-3</v>
      </c>
    </row>
    <row r="502" spans="1:19" x14ac:dyDescent="0.3">
      <c r="A502" s="3">
        <v>198809</v>
      </c>
      <c r="B502" s="6">
        <f t="shared" si="14"/>
        <v>3.5670045935185329E-2</v>
      </c>
      <c r="C502" s="4">
        <f t="shared" si="15"/>
        <v>3.6539000000000002E-2</v>
      </c>
      <c r="D502" s="5">
        <v>3.4790923467323744E-2</v>
      </c>
      <c r="E502" s="5">
        <v>3.6173141633527077E-2</v>
      </c>
      <c r="F502" s="7">
        <v>8.3593836195800075E-2</v>
      </c>
      <c r="G502" s="7">
        <v>0.41619005719313684</v>
      </c>
      <c r="H502" s="7">
        <v>1.192739773525908E-3</v>
      </c>
      <c r="I502" s="7">
        <v>0.47754045368709508</v>
      </c>
      <c r="J502" s="7">
        <v>-1.0001513634500452E-2</v>
      </c>
      <c r="K502" s="8">
        <v>7.2400000000000006E-2</v>
      </c>
      <c r="L502" s="8">
        <v>9.1700000000000004E-2</v>
      </c>
      <c r="M502" s="8">
        <v>3.4500000000000003E-2</v>
      </c>
      <c r="N502" s="7">
        <v>1.9299999999999998E-2</v>
      </c>
      <c r="O502" s="7">
        <v>1.079999999999999E-2</v>
      </c>
      <c r="P502" s="7">
        <v>-1.9000000000000059E-3</v>
      </c>
      <c r="Q502" s="7">
        <v>6.7226890756302282E-3</v>
      </c>
      <c r="R502" s="7">
        <v>4.2738999999999999E-2</v>
      </c>
      <c r="S502" s="7">
        <v>6.1999999999999998E-3</v>
      </c>
    </row>
    <row r="503" spans="1:19" x14ac:dyDescent="0.3">
      <c r="A503" s="3">
        <v>198810</v>
      </c>
      <c r="B503" s="6">
        <f t="shared" si="14"/>
        <v>2.0454320625945065E-2</v>
      </c>
      <c r="C503" s="4">
        <f t="shared" si="15"/>
        <v>2.0791000000000004E-2</v>
      </c>
      <c r="D503" s="5">
        <v>3.4256969088671423E-2</v>
      </c>
      <c r="E503" s="5">
        <v>3.5146433256101901E-2</v>
      </c>
      <c r="F503" s="7">
        <v>8.2697064200451656E-2</v>
      </c>
      <c r="G503" s="7">
        <v>0.41424649617107362</v>
      </c>
      <c r="H503" s="7">
        <v>1.6315423520285408E-3</v>
      </c>
      <c r="I503" s="7">
        <v>0.46959718893258556</v>
      </c>
      <c r="J503" s="7">
        <v>-1.0462470489310264E-2</v>
      </c>
      <c r="K503" s="8">
        <v>7.3499999999999996E-2</v>
      </c>
      <c r="L503" s="8">
        <v>8.8900000000000007E-2</v>
      </c>
      <c r="M503" s="8">
        <v>3.0800000000000001E-2</v>
      </c>
      <c r="N503" s="7">
        <v>1.5400000000000011E-2</v>
      </c>
      <c r="O503" s="7">
        <v>8.9999999999999941E-3</v>
      </c>
      <c r="P503" s="7">
        <v>-3.4999999999999996E-3</v>
      </c>
      <c r="Q503" s="7">
        <v>3.3388981636059967E-3</v>
      </c>
      <c r="R503" s="7">
        <v>2.6891000000000002E-2</v>
      </c>
      <c r="S503" s="7">
        <v>6.0999999999999995E-3</v>
      </c>
    </row>
    <row r="504" spans="1:19" x14ac:dyDescent="0.3">
      <c r="A504" s="3">
        <v>198811</v>
      </c>
      <c r="B504" s="6">
        <f t="shared" si="14"/>
        <v>-2.0142846245917417E-2</v>
      </c>
      <c r="C504" s="4">
        <f t="shared" si="15"/>
        <v>-2.0055E-2</v>
      </c>
      <c r="D504" s="5">
        <v>3.5269760077944225E-2</v>
      </c>
      <c r="E504" s="5">
        <v>3.4603481855874585E-2</v>
      </c>
      <c r="F504" s="7">
        <v>8.5531603945926196E-2</v>
      </c>
      <c r="G504" s="7">
        <v>0.41235939057382887</v>
      </c>
      <c r="H504" s="7">
        <v>1.3479966588778067E-3</v>
      </c>
      <c r="I504" s="7">
        <v>0.47717911005386587</v>
      </c>
      <c r="J504" s="7">
        <v>-7.7649560215830088E-3</v>
      </c>
      <c r="K504" s="8">
        <v>7.7600000000000002E-2</v>
      </c>
      <c r="L504" s="8">
        <v>9.2299999999999993E-2</v>
      </c>
      <c r="M504" s="8">
        <v>-1.9599999999999999E-2</v>
      </c>
      <c r="N504" s="7">
        <v>1.4699999999999991E-2</v>
      </c>
      <c r="O504" s="7">
        <v>1.0300000000000017E-2</v>
      </c>
      <c r="P504" s="7">
        <v>2.700000000000001E-3</v>
      </c>
      <c r="Q504" s="7">
        <v>8.3194675540765317E-4</v>
      </c>
      <c r="R504" s="7">
        <v>-1.4355E-2</v>
      </c>
      <c r="S504" s="7">
        <v>5.6999999999999993E-3</v>
      </c>
    </row>
    <row r="505" spans="1:19" x14ac:dyDescent="0.3">
      <c r="A505" s="3">
        <v>198812</v>
      </c>
      <c r="B505" s="6">
        <f t="shared" si="14"/>
        <v>1.2102754683448475E-2</v>
      </c>
      <c r="C505" s="4">
        <f t="shared" si="15"/>
        <v>1.2253E-2</v>
      </c>
      <c r="D505" s="5">
        <v>3.5107302318882323E-2</v>
      </c>
      <c r="E505" s="5">
        <v>3.562294483010596E-2</v>
      </c>
      <c r="F505" s="7">
        <v>8.5517787699841558E-2</v>
      </c>
      <c r="G505" s="7">
        <v>0.41052631578947368</v>
      </c>
      <c r="H505" s="7">
        <v>6.2811088400270565E-4</v>
      </c>
      <c r="I505" s="7">
        <v>0.46528357396809877</v>
      </c>
      <c r="J505" s="7">
        <v>-2.1405748349733481E-2</v>
      </c>
      <c r="K505" s="8">
        <v>8.0700000000000008E-2</v>
      </c>
      <c r="L505" s="8">
        <v>9.1800000000000007E-2</v>
      </c>
      <c r="M505" s="8">
        <v>1.0999999999999999E-2</v>
      </c>
      <c r="N505" s="7">
        <v>1.1099999999999999E-2</v>
      </c>
      <c r="O505" s="7">
        <v>1.079999999999999E-2</v>
      </c>
      <c r="P505" s="7">
        <v>-7.0999999999999995E-3</v>
      </c>
      <c r="Q505" s="7">
        <v>1.6625103906899863E-3</v>
      </c>
      <c r="R505" s="7">
        <v>1.8553E-2</v>
      </c>
      <c r="S505" s="7">
        <v>6.3E-3</v>
      </c>
    </row>
    <row r="506" spans="1:19" x14ac:dyDescent="0.3">
      <c r="A506" s="3">
        <v>198901</v>
      </c>
      <c r="B506" s="6">
        <f t="shared" si="14"/>
        <v>6.432374173399695E-2</v>
      </c>
      <c r="C506" s="4">
        <f t="shared" si="15"/>
        <v>6.6803000000000001E-2</v>
      </c>
      <c r="D506" s="5">
        <v>3.3068880895552488E-2</v>
      </c>
      <c r="E506" s="5">
        <v>3.5420567478035424E-2</v>
      </c>
      <c r="F506" s="7">
        <v>8.1195862888134379E-2</v>
      </c>
      <c r="G506" s="7">
        <v>0.40727297819486608</v>
      </c>
      <c r="H506" s="7">
        <v>9.6457294421402372E-4</v>
      </c>
      <c r="I506" s="7">
        <v>0.4307694934936302</v>
      </c>
      <c r="J506" s="7">
        <v>-2.2360508470694443E-2</v>
      </c>
      <c r="K506" s="8">
        <v>8.2699999999999996E-2</v>
      </c>
      <c r="L506" s="8">
        <v>9.0300000000000005E-2</v>
      </c>
      <c r="M506" s="8">
        <v>2.0299999999999999E-2</v>
      </c>
      <c r="N506" s="7">
        <v>7.6000000000000095E-3</v>
      </c>
      <c r="O506" s="7">
        <v>1.0300000000000004E-2</v>
      </c>
      <c r="P506" s="7">
        <v>-9.9999999999999395E-5</v>
      </c>
      <c r="Q506" s="7">
        <v>4.9792531120331773E-3</v>
      </c>
      <c r="R506" s="7">
        <v>7.2303000000000006E-2</v>
      </c>
      <c r="S506" s="7">
        <v>5.5000000000000005E-3</v>
      </c>
    </row>
    <row r="507" spans="1:19" x14ac:dyDescent="0.3">
      <c r="A507" s="3">
        <v>198902</v>
      </c>
      <c r="B507" s="6">
        <f t="shared" si="14"/>
        <v>-3.1431073677420381E-2</v>
      </c>
      <c r="C507" s="4">
        <f t="shared" si="15"/>
        <v>-3.1130999999999999E-2</v>
      </c>
      <c r="D507" s="5">
        <v>3.4355743266634355E-2</v>
      </c>
      <c r="E507" s="5">
        <v>3.3361347362759267E-2</v>
      </c>
      <c r="F507" s="7">
        <v>8.5012347388585013E-2</v>
      </c>
      <c r="G507" s="7">
        <v>0.40412651011266454</v>
      </c>
      <c r="H507" s="7">
        <v>1.1760790014062996E-3</v>
      </c>
      <c r="I507" s="7">
        <v>0.44677845721952369</v>
      </c>
      <c r="J507" s="7">
        <v>-2.4823369883343067E-2</v>
      </c>
      <c r="K507" s="8">
        <v>8.5299999999999987E-2</v>
      </c>
      <c r="L507" s="8">
        <v>9.35E-2</v>
      </c>
      <c r="M507" s="8">
        <v>-1.7899999999999999E-2</v>
      </c>
      <c r="N507" s="7">
        <v>8.2000000000000128E-3</v>
      </c>
      <c r="O507" s="7">
        <v>9.7000000000000003E-3</v>
      </c>
      <c r="P507" s="7">
        <v>4.9999999999999992E-3</v>
      </c>
      <c r="Q507" s="7">
        <v>4.1288191577208977E-3</v>
      </c>
      <c r="R507" s="7">
        <v>-2.5031000000000001E-2</v>
      </c>
      <c r="S507" s="7">
        <v>6.0999999999999995E-3</v>
      </c>
    </row>
    <row r="508" spans="1:19" x14ac:dyDescent="0.3">
      <c r="A508" s="3">
        <v>198903</v>
      </c>
      <c r="B508" s="6">
        <f t="shared" si="14"/>
        <v>1.6098977176415129E-2</v>
      </c>
      <c r="C508" s="4">
        <f t="shared" si="15"/>
        <v>1.6337999999999998E-2</v>
      </c>
      <c r="D508" s="5">
        <v>3.3950554481635975E-2</v>
      </c>
      <c r="E508" s="5">
        <v>3.4656927231184652E-2</v>
      </c>
      <c r="F508" s="7">
        <v>8.4647471767219457E-2</v>
      </c>
      <c r="G508" s="7">
        <v>0.4010817307692307</v>
      </c>
      <c r="H508" s="7">
        <v>1.2864519343967816E-3</v>
      </c>
      <c r="I508" s="7">
        <v>0.46869141357330335</v>
      </c>
      <c r="J508" s="7">
        <v>-2.310213300004323E-2</v>
      </c>
      <c r="K508" s="8">
        <v>8.8200000000000001E-2</v>
      </c>
      <c r="L508" s="8">
        <v>9.2899999999999996E-2</v>
      </c>
      <c r="M508" s="8">
        <v>1.2200000000000001E-2</v>
      </c>
      <c r="N508" s="7">
        <v>4.6999999999999958E-3</v>
      </c>
      <c r="O508" s="7">
        <v>8.6999999999999994E-3</v>
      </c>
      <c r="P508" s="7">
        <v>-5.8000000000000005E-3</v>
      </c>
      <c r="Q508" s="7">
        <v>5.7565789473683626E-3</v>
      </c>
      <c r="R508" s="7">
        <v>2.3037999999999999E-2</v>
      </c>
      <c r="S508" s="7">
        <v>6.7000000000000002E-3</v>
      </c>
    </row>
    <row r="509" spans="1:19" x14ac:dyDescent="0.3">
      <c r="A509" s="3">
        <v>198904</v>
      </c>
      <c r="B509" s="6">
        <f t="shared" si="14"/>
        <v>4.3736903658917865E-2</v>
      </c>
      <c r="C509" s="4">
        <f t="shared" si="15"/>
        <v>4.5007000000000005E-2</v>
      </c>
      <c r="D509" s="5">
        <v>3.2715411445549666E-2</v>
      </c>
      <c r="E509" s="5">
        <v>3.4354122155526162E-2</v>
      </c>
      <c r="F509" s="7">
        <v>8.0889635275373559E-2</v>
      </c>
      <c r="G509" s="7">
        <v>0.40444503593292519</v>
      </c>
      <c r="H509" s="7">
        <v>9.5558369570823785E-4</v>
      </c>
      <c r="I509" s="7">
        <v>0.44443525715230692</v>
      </c>
      <c r="J509" s="7">
        <v>-2.2801965431950559E-2</v>
      </c>
      <c r="K509" s="8">
        <v>8.6500000000000007E-2</v>
      </c>
      <c r="L509" s="8">
        <v>9.1800000000000007E-2</v>
      </c>
      <c r="M509" s="8">
        <v>1.5900000000000001E-2</v>
      </c>
      <c r="N509" s="7">
        <v>5.2999999999999992E-3</v>
      </c>
      <c r="O509" s="7">
        <v>8.2000000000000128E-3</v>
      </c>
      <c r="P509" s="7">
        <v>5.3999999999999986E-3</v>
      </c>
      <c r="Q509" s="7">
        <v>6.5412919051512919E-3</v>
      </c>
      <c r="R509" s="7">
        <v>5.1707000000000003E-2</v>
      </c>
      <c r="S509" s="7">
        <v>6.7000000000000002E-3</v>
      </c>
    </row>
    <row r="510" spans="1:19" x14ac:dyDescent="0.3">
      <c r="A510" s="3">
        <v>198905</v>
      </c>
      <c r="B510" s="6">
        <f t="shared" si="14"/>
        <v>3.2333964556283019E-2</v>
      </c>
      <c r="C510" s="4">
        <f t="shared" si="15"/>
        <v>3.3121999999999999E-2</v>
      </c>
      <c r="D510" s="5">
        <v>3.1976163733932361E-2</v>
      </c>
      <c r="E510" s="5">
        <v>3.3099728717219994E-2</v>
      </c>
      <c r="F510" s="7">
        <v>7.8414243520945143E-2</v>
      </c>
      <c r="G510" s="7">
        <v>0.40778514588859405</v>
      </c>
      <c r="H510" s="7">
        <v>1.0730555571050598E-3</v>
      </c>
      <c r="I510" s="7">
        <v>0.43344152571417049</v>
      </c>
      <c r="J510" s="7">
        <v>-2.7714057553440523E-2</v>
      </c>
      <c r="K510" s="8">
        <v>8.43E-2</v>
      </c>
      <c r="L510" s="8">
        <v>8.7800000000000003E-2</v>
      </c>
      <c r="M510" s="8">
        <v>4.0099999999999997E-2</v>
      </c>
      <c r="N510" s="7">
        <v>3.5000000000000031E-3</v>
      </c>
      <c r="O510" s="7">
        <v>8.9000000000000051E-3</v>
      </c>
      <c r="P510" s="7">
        <v>-2.1999999999999936E-3</v>
      </c>
      <c r="Q510" s="7">
        <v>5.6864337936637366E-3</v>
      </c>
      <c r="R510" s="7">
        <v>4.1022000000000003E-2</v>
      </c>
      <c r="S510" s="7">
        <v>7.9000000000000008E-3</v>
      </c>
    </row>
    <row r="511" spans="1:19" x14ac:dyDescent="0.3">
      <c r="A511" s="3">
        <v>198906</v>
      </c>
      <c r="B511" s="6">
        <f t="shared" si="14"/>
        <v>-1.2701714465684154E-2</v>
      </c>
      <c r="C511" s="4">
        <f t="shared" si="15"/>
        <v>-1.2711E-2</v>
      </c>
      <c r="D511" s="5">
        <v>3.2605824265677083E-2</v>
      </c>
      <c r="E511" s="5">
        <v>3.2347435417446647E-2</v>
      </c>
      <c r="F511" s="7">
        <v>7.9313164349959123E-2</v>
      </c>
      <c r="G511" s="7">
        <v>0.4111022997620935</v>
      </c>
      <c r="H511" s="7">
        <v>1.4295303026152341E-3</v>
      </c>
      <c r="I511" s="7">
        <v>0.44056293697695958</v>
      </c>
      <c r="J511" s="7">
        <v>-2.3948068670626252E-2</v>
      </c>
      <c r="K511" s="8">
        <v>8.1500000000000003E-2</v>
      </c>
      <c r="L511" s="8">
        <v>8.2100000000000006E-2</v>
      </c>
      <c r="M511" s="8">
        <v>5.5E-2</v>
      </c>
      <c r="N511" s="7">
        <v>6.0000000000000331E-4</v>
      </c>
      <c r="O511" s="7">
        <v>9.3000000000000027E-3</v>
      </c>
      <c r="P511" s="7">
        <v>-1.55E-2</v>
      </c>
      <c r="Q511" s="7">
        <v>2.4232633279481774E-3</v>
      </c>
      <c r="R511" s="7">
        <v>-5.6109999999999997E-3</v>
      </c>
      <c r="S511" s="7">
        <v>7.0999999999999995E-3</v>
      </c>
    </row>
    <row r="512" spans="1:19" x14ac:dyDescent="0.3">
      <c r="A512" s="3">
        <v>198907</v>
      </c>
      <c r="B512" s="6">
        <f t="shared" si="14"/>
        <v>7.9250705175736916E-2</v>
      </c>
      <c r="C512" s="4">
        <f t="shared" si="15"/>
        <v>8.3052999999999988E-2</v>
      </c>
      <c r="D512" s="5">
        <v>3.0310910772075816E-2</v>
      </c>
      <c r="E512" s="5">
        <v>3.2989496194729219E-2</v>
      </c>
      <c r="F512" s="7">
        <v>7.1399676375404536E-2</v>
      </c>
      <c r="G512" s="7">
        <v>0.42452448401456894</v>
      </c>
      <c r="H512" s="7">
        <v>1.0188256817299556E-3</v>
      </c>
      <c r="I512" s="7">
        <v>0.40403508903805824</v>
      </c>
      <c r="J512" s="7">
        <v>-2.8536217067649697E-2</v>
      </c>
      <c r="K512" s="8">
        <v>7.8799999999999995E-2</v>
      </c>
      <c r="L512" s="8">
        <v>8.0100000000000005E-2</v>
      </c>
      <c r="M512" s="8">
        <v>2.3800000000000002E-2</v>
      </c>
      <c r="N512" s="7">
        <v>1.3000000000000095E-3</v>
      </c>
      <c r="O512" s="7">
        <v>9.4000000000000056E-3</v>
      </c>
      <c r="P512" s="7">
        <v>-6.0000000000000019E-3</v>
      </c>
      <c r="Q512" s="7">
        <v>2.4174053182917099E-3</v>
      </c>
      <c r="R512" s="7">
        <v>9.0052999999999994E-2</v>
      </c>
      <c r="S512" s="7">
        <v>6.9999999999999993E-3</v>
      </c>
    </row>
    <row r="513" spans="1:19" x14ac:dyDescent="0.3">
      <c r="A513" s="3">
        <v>198908</v>
      </c>
      <c r="B513" s="6">
        <f t="shared" si="14"/>
        <v>1.2285744933761658E-2</v>
      </c>
      <c r="C513" s="4">
        <f t="shared" si="15"/>
        <v>1.2452999999999999E-2</v>
      </c>
      <c r="D513" s="5">
        <v>3.0194906814625121E-2</v>
      </c>
      <c r="E513" s="5">
        <v>3.0663430420711971E-2</v>
      </c>
      <c r="F513" s="7">
        <v>6.8857589984350542E-2</v>
      </c>
      <c r="G513" s="7">
        <v>0.43851239669421482</v>
      </c>
      <c r="H513" s="7">
        <v>1.3804507318026468E-3</v>
      </c>
      <c r="I513" s="7">
        <v>0.39272706017309217</v>
      </c>
      <c r="J513" s="7">
        <v>-2.4822151140447613E-2</v>
      </c>
      <c r="K513" s="8">
        <v>7.9000000000000001E-2</v>
      </c>
      <c r="L513" s="8">
        <v>8.4099999999999994E-2</v>
      </c>
      <c r="M513" s="8">
        <v>-2.5899999999999999E-2</v>
      </c>
      <c r="N513" s="7">
        <v>5.0999999999999934E-3</v>
      </c>
      <c r="O513" s="7">
        <v>9.1999999999999998E-3</v>
      </c>
      <c r="P513" s="7">
        <v>9.6000000000000009E-3</v>
      </c>
      <c r="Q513" s="7">
        <v>1.607717041800516E-3</v>
      </c>
      <c r="R513" s="7">
        <v>1.9852999999999999E-2</v>
      </c>
      <c r="S513" s="7">
        <v>7.4000000000000003E-3</v>
      </c>
    </row>
    <row r="514" spans="1:19" x14ac:dyDescent="0.3">
      <c r="A514" s="3">
        <v>198909</v>
      </c>
      <c r="B514" s="6">
        <f t="shared" si="14"/>
        <v>-1.0491003567569334E-2</v>
      </c>
      <c r="C514" s="4">
        <f t="shared" si="15"/>
        <v>-1.0503999999999999E-2</v>
      </c>
      <c r="D514" s="5">
        <v>3.0743233567234709E-2</v>
      </c>
      <c r="E514" s="5">
        <v>3.0542040119504905E-2</v>
      </c>
      <c r="F514" s="7">
        <v>6.7850494056995558E-2</v>
      </c>
      <c r="G514" s="7">
        <v>0.45310257492612915</v>
      </c>
      <c r="H514" s="7">
        <v>5.5019169491750614E-4</v>
      </c>
      <c r="I514" s="7">
        <v>0.39920975037321466</v>
      </c>
      <c r="J514" s="7">
        <v>-2.5747099827376781E-2</v>
      </c>
      <c r="K514" s="8">
        <v>7.7499999999999999E-2</v>
      </c>
      <c r="L514" s="8">
        <v>8.4699999999999998E-2</v>
      </c>
      <c r="M514" s="8">
        <v>1.9E-3</v>
      </c>
      <c r="N514" s="7">
        <v>7.1999999999999981E-3</v>
      </c>
      <c r="O514" s="7">
        <v>9.000000000000008E-3</v>
      </c>
      <c r="P514" s="7">
        <v>2.1000000000000003E-3</v>
      </c>
      <c r="Q514" s="7">
        <v>3.2102728731941976E-3</v>
      </c>
      <c r="R514" s="7">
        <v>-4.0039999999999997E-3</v>
      </c>
      <c r="S514" s="7">
        <v>6.5000000000000006E-3</v>
      </c>
    </row>
    <row r="515" spans="1:19" x14ac:dyDescent="0.3">
      <c r="A515" s="3">
        <v>198910</v>
      </c>
      <c r="B515" s="6">
        <f t="shared" ref="B515:B578" si="16">LN(R515+1) - LN(S515+1)</f>
        <v>-3.0699868186540798E-2</v>
      </c>
      <c r="C515" s="4">
        <f t="shared" ref="C515:C578" si="17">R515 - S515</f>
        <v>-3.0439000000000001E-2</v>
      </c>
      <c r="D515" s="5">
        <v>3.1851568927018445E-2</v>
      </c>
      <c r="E515" s="5">
        <v>3.1049692109408562E-2</v>
      </c>
      <c r="F515" s="7">
        <v>6.879970227602146E-2</v>
      </c>
      <c r="G515" s="7">
        <v>0.46296085409252669</v>
      </c>
      <c r="H515" s="7">
        <v>5.635910821181582E-3</v>
      </c>
      <c r="I515" s="7">
        <v>0.40641492884903291</v>
      </c>
      <c r="J515" s="7">
        <v>-2.4350637400219234E-2</v>
      </c>
      <c r="K515" s="8">
        <v>7.6399999999999996E-2</v>
      </c>
      <c r="L515" s="8">
        <v>8.1000000000000003E-2</v>
      </c>
      <c r="M515" s="8">
        <v>3.7900000000000003E-2</v>
      </c>
      <c r="N515" s="7">
        <v>4.6000000000000069E-3</v>
      </c>
      <c r="O515" s="7">
        <v>8.9000000000000051E-3</v>
      </c>
      <c r="P515" s="7">
        <v>-1.0300000000000004E-2</v>
      </c>
      <c r="Q515" s="7">
        <v>4.7999999999999154E-3</v>
      </c>
      <c r="R515" s="7">
        <v>-2.3639E-2</v>
      </c>
      <c r="S515" s="7">
        <v>6.8000000000000005E-3</v>
      </c>
    </row>
    <row r="516" spans="1:19" x14ac:dyDescent="0.3">
      <c r="A516" s="3">
        <v>198911</v>
      </c>
      <c r="B516" s="6">
        <f t="shared" si="16"/>
        <v>1.3395820968630609E-2</v>
      </c>
      <c r="C516" s="4">
        <f t="shared" si="17"/>
        <v>1.3579000000000001E-2</v>
      </c>
      <c r="D516" s="5">
        <v>3.1642533021185582E-2</v>
      </c>
      <c r="E516" s="5">
        <v>3.2165941943824189E-2</v>
      </c>
      <c r="F516" s="7">
        <v>6.6890179870323807E-2</v>
      </c>
      <c r="G516" s="7">
        <v>0.47305199481492149</v>
      </c>
      <c r="H516" s="7">
        <v>8.4480877968685605E-4</v>
      </c>
      <c r="I516" s="7">
        <v>0.3972257017961992</v>
      </c>
      <c r="J516" s="7">
        <v>-2.7032771150602743E-2</v>
      </c>
      <c r="K516" s="8">
        <v>7.690000000000001E-2</v>
      </c>
      <c r="L516" s="8">
        <v>8.0799999999999997E-2</v>
      </c>
      <c r="M516" s="8">
        <v>7.7999999999999996E-3</v>
      </c>
      <c r="N516" s="7">
        <v>3.8999999999999868E-3</v>
      </c>
      <c r="O516" s="7">
        <v>9.1999999999999998E-3</v>
      </c>
      <c r="P516" s="7">
        <v>-7.999999999999995E-4</v>
      </c>
      <c r="Q516" s="7">
        <v>2.3885350318473275E-3</v>
      </c>
      <c r="R516" s="7">
        <v>2.0479000000000001E-2</v>
      </c>
      <c r="S516" s="7">
        <v>6.8999999999999999E-3</v>
      </c>
    </row>
    <row r="517" spans="1:19" x14ac:dyDescent="0.3">
      <c r="A517" s="3">
        <v>198912</v>
      </c>
      <c r="B517" s="6">
        <f t="shared" si="16"/>
        <v>1.6322672064362928E-2</v>
      </c>
      <c r="C517" s="4">
        <f t="shared" si="17"/>
        <v>1.6557000000000002E-2</v>
      </c>
      <c r="D517" s="5">
        <v>3.1281833616298813E-2</v>
      </c>
      <c r="E517" s="5">
        <v>3.1951790514176709E-2</v>
      </c>
      <c r="F517" s="7">
        <v>6.4714204867006228E-2</v>
      </c>
      <c r="G517" s="7">
        <v>0.48338434630520327</v>
      </c>
      <c r="H517" s="7">
        <v>9.2342284436657701E-4</v>
      </c>
      <c r="I517" s="7">
        <v>0.39045474357111726</v>
      </c>
      <c r="J517" s="7">
        <v>-1.2333538177131041E-2</v>
      </c>
      <c r="K517" s="8">
        <v>7.6299999999999993E-2</v>
      </c>
      <c r="L517" s="8">
        <v>8.1600000000000006E-2</v>
      </c>
      <c r="M517" s="8">
        <v>-5.9999999999999995E-4</v>
      </c>
      <c r="N517" s="7">
        <v>5.300000000000013E-3</v>
      </c>
      <c r="O517" s="7">
        <v>9.6000000000000113E-3</v>
      </c>
      <c r="P517" s="7">
        <v>1.1999999999999999E-3</v>
      </c>
      <c r="Q517" s="7">
        <v>1.5885623510722979E-3</v>
      </c>
      <c r="R517" s="7">
        <v>2.2657E-2</v>
      </c>
      <c r="S517" s="7">
        <v>6.0999999999999995E-3</v>
      </c>
    </row>
    <row r="518" spans="1:19" x14ac:dyDescent="0.3">
      <c r="A518" s="3">
        <v>199001</v>
      </c>
      <c r="B518" s="6">
        <f t="shared" si="16"/>
        <v>-7.5742612994404615E-2</v>
      </c>
      <c r="C518" s="4">
        <f t="shared" si="17"/>
        <v>-7.3360999999999996E-2</v>
      </c>
      <c r="D518" s="5">
        <v>3.3860054292775825E-2</v>
      </c>
      <c r="E518" s="5">
        <v>3.1529900018864368E-2</v>
      </c>
      <c r="F518" s="7">
        <v>6.8281268992342284E-2</v>
      </c>
      <c r="G518" s="7">
        <v>0.49589081738614454</v>
      </c>
      <c r="H518" s="7">
        <v>2.8920476642427264E-3</v>
      </c>
      <c r="I518" s="7">
        <v>0.4149713959251739</v>
      </c>
      <c r="J518" s="7">
        <v>-1.3896789937150072E-2</v>
      </c>
      <c r="K518" s="8">
        <v>7.6399999999999996E-2</v>
      </c>
      <c r="L518" s="8">
        <v>8.6499999999999994E-2</v>
      </c>
      <c r="M518" s="8">
        <v>-3.4299999999999997E-2</v>
      </c>
      <c r="N518" s="7">
        <v>1.0099999999999998E-2</v>
      </c>
      <c r="O518" s="7">
        <v>9.4999999999999807E-3</v>
      </c>
      <c r="P518" s="7">
        <v>1.5199999999999998E-2</v>
      </c>
      <c r="Q518" s="7">
        <v>1.0309278350515649E-2</v>
      </c>
      <c r="R518" s="7">
        <v>-6.7660999999999999E-2</v>
      </c>
      <c r="S518" s="7">
        <v>5.6999999999999993E-3</v>
      </c>
    </row>
    <row r="519" spans="1:19" x14ac:dyDescent="0.3">
      <c r="A519" s="3">
        <v>199002</v>
      </c>
      <c r="B519" s="6">
        <f t="shared" si="16"/>
        <v>7.6084486490858774E-3</v>
      </c>
      <c r="C519" s="4">
        <f t="shared" si="17"/>
        <v>7.6810000000000012E-3</v>
      </c>
      <c r="D519" s="5">
        <v>3.38375164462121E-2</v>
      </c>
      <c r="E519" s="5">
        <v>3.4126453547263076E-2</v>
      </c>
      <c r="F519" s="7">
        <v>6.6497936063153462E-2</v>
      </c>
      <c r="G519" s="7">
        <v>0.50885062679353565</v>
      </c>
      <c r="H519" s="7">
        <v>1.0085782506886025E-3</v>
      </c>
      <c r="I519" s="7">
        <v>0.40917308973261013</v>
      </c>
      <c r="J519" s="7">
        <v>-1.1729203148758496E-2</v>
      </c>
      <c r="K519" s="8">
        <v>7.7399999999999997E-2</v>
      </c>
      <c r="L519" s="8">
        <v>8.7599999999999997E-2</v>
      </c>
      <c r="M519" s="8">
        <v>-2.5000000000000001E-3</v>
      </c>
      <c r="N519" s="7">
        <v>1.0200000000000001E-2</v>
      </c>
      <c r="O519" s="7">
        <v>9.1999999999999998E-3</v>
      </c>
      <c r="P519" s="7">
        <v>1.3000000000000002E-3</v>
      </c>
      <c r="Q519" s="7">
        <v>4.7095761381474865E-3</v>
      </c>
      <c r="R519" s="7">
        <v>1.3381000000000001E-2</v>
      </c>
      <c r="S519" s="7">
        <v>5.6999999999999993E-3</v>
      </c>
    </row>
    <row r="520" spans="1:19" x14ac:dyDescent="0.3">
      <c r="A520" s="3">
        <v>199003</v>
      </c>
      <c r="B520" s="6">
        <f t="shared" si="16"/>
        <v>1.9861075040990214E-2</v>
      </c>
      <c r="C520" s="4">
        <f t="shared" si="17"/>
        <v>2.0188000000000001E-2</v>
      </c>
      <c r="D520" s="5">
        <v>3.3294110725422134E-2</v>
      </c>
      <c r="E520" s="5">
        <v>3.4101660188616711E-2</v>
      </c>
      <c r="F520" s="7">
        <v>6.3746543507677819E-2</v>
      </c>
      <c r="G520" s="7">
        <v>0.52228887863405637</v>
      </c>
      <c r="H520" s="7">
        <v>1.03224470002074E-3</v>
      </c>
      <c r="I520" s="7">
        <v>0.4713339563609768</v>
      </c>
      <c r="J520" s="7">
        <v>-1.0291442803506972E-2</v>
      </c>
      <c r="K520" s="8">
        <v>7.9000000000000001E-2</v>
      </c>
      <c r="L520" s="8">
        <v>8.8900000000000007E-2</v>
      </c>
      <c r="M520" s="8">
        <v>-4.4000000000000003E-3</v>
      </c>
      <c r="N520" s="7">
        <v>9.900000000000006E-3</v>
      </c>
      <c r="O520" s="7">
        <v>8.4000000000000186E-3</v>
      </c>
      <c r="P520" s="7">
        <v>3.3E-3</v>
      </c>
      <c r="Q520" s="7">
        <v>5.4687499999999112E-3</v>
      </c>
      <c r="R520" s="7">
        <v>2.6588000000000001E-2</v>
      </c>
      <c r="S520" s="7">
        <v>6.4000000000000003E-3</v>
      </c>
    </row>
    <row r="521" spans="1:19" x14ac:dyDescent="0.3">
      <c r="A521" s="3">
        <v>199004</v>
      </c>
      <c r="B521" s="6">
        <f t="shared" si="16"/>
        <v>-3.1685523328111996E-2</v>
      </c>
      <c r="C521" s="4">
        <f t="shared" si="17"/>
        <v>-3.1404000000000001E-2</v>
      </c>
      <c r="D521" s="5">
        <v>3.4561668681983071E-2</v>
      </c>
      <c r="E521" s="5">
        <v>3.3632405718656236E-2</v>
      </c>
      <c r="F521" s="7">
        <v>6.5094719871019738E-2</v>
      </c>
      <c r="G521" s="7">
        <v>0.53094427244582043</v>
      </c>
      <c r="H521" s="7">
        <v>9.6677738381009844E-4</v>
      </c>
      <c r="I521" s="7">
        <v>0.4802842560110811</v>
      </c>
      <c r="J521" s="7">
        <v>-1.0149281171074566E-2</v>
      </c>
      <c r="K521" s="8">
        <v>7.7699999999999991E-2</v>
      </c>
      <c r="L521" s="8">
        <v>9.2399999999999996E-2</v>
      </c>
      <c r="M521" s="8">
        <v>-2.0199999999999999E-2</v>
      </c>
      <c r="N521" s="7">
        <v>1.4700000000000005E-2</v>
      </c>
      <c r="O521" s="7">
        <v>8.4000000000000047E-3</v>
      </c>
      <c r="P521" s="7">
        <v>1.1000000000000003E-3</v>
      </c>
      <c r="Q521" s="7">
        <v>1.5540015540016494E-3</v>
      </c>
      <c r="R521" s="7">
        <v>-2.4504000000000001E-2</v>
      </c>
      <c r="S521" s="7">
        <v>6.8999999999999999E-3</v>
      </c>
    </row>
    <row r="522" spans="1:19" x14ac:dyDescent="0.3">
      <c r="A522" s="3">
        <v>199005</v>
      </c>
      <c r="B522" s="6">
        <f t="shared" si="16"/>
        <v>8.6184074864281215E-2</v>
      </c>
      <c r="C522" s="4">
        <f t="shared" si="17"/>
        <v>9.0619000000000005E-2</v>
      </c>
      <c r="D522" s="5">
        <v>3.1968551892146271E-2</v>
      </c>
      <c r="E522" s="5">
        <v>3.4909310761789596E-2</v>
      </c>
      <c r="F522" s="7">
        <v>5.9232806429883079E-2</v>
      </c>
      <c r="G522" s="7">
        <v>0.53971023523913375</v>
      </c>
      <c r="H522" s="7">
        <v>1.3614467145162906E-3</v>
      </c>
      <c r="I522" s="7">
        <v>0.44356997351094674</v>
      </c>
      <c r="J522" s="7">
        <v>-2.261808542387736E-3</v>
      </c>
      <c r="K522" s="8">
        <v>7.7399999999999997E-2</v>
      </c>
      <c r="L522" s="8">
        <v>8.8300000000000003E-2</v>
      </c>
      <c r="M522" s="8">
        <v>4.1500000000000002E-2</v>
      </c>
      <c r="N522" s="7">
        <v>1.0900000000000007E-2</v>
      </c>
      <c r="O522" s="7">
        <v>9.3999999999999917E-3</v>
      </c>
      <c r="P522" s="7">
        <v>-3.0000000000000027E-3</v>
      </c>
      <c r="Q522" s="7">
        <v>2.3273855702092838E-3</v>
      </c>
      <c r="R522" s="7">
        <v>9.7419000000000006E-2</v>
      </c>
      <c r="S522" s="7">
        <v>6.8000000000000005E-3</v>
      </c>
    </row>
    <row r="523" spans="1:19" x14ac:dyDescent="0.3">
      <c r="A523" s="3">
        <v>199006</v>
      </c>
      <c r="B523" s="6">
        <f t="shared" si="16"/>
        <v>-1.3057149436176895E-2</v>
      </c>
      <c r="C523" s="4">
        <f t="shared" si="17"/>
        <v>-1.3054E-2</v>
      </c>
      <c r="D523" s="5">
        <v>3.257639238031395E-2</v>
      </c>
      <c r="E523" s="5">
        <v>3.2286908617778144E-2</v>
      </c>
      <c r="F523" s="7">
        <v>5.9382157421373108E-2</v>
      </c>
      <c r="G523" s="7">
        <v>0.54858889934148636</v>
      </c>
      <c r="H523" s="7">
        <v>1.3508254602949282E-3</v>
      </c>
      <c r="I523" s="7">
        <v>0.44294943225407801</v>
      </c>
      <c r="J523" s="7">
        <v>-5.0727477402562956E-4</v>
      </c>
      <c r="K523" s="8">
        <v>7.7300000000000008E-2</v>
      </c>
      <c r="L523" s="8">
        <v>8.6400000000000005E-2</v>
      </c>
      <c r="M523" s="8">
        <v>2.3E-2</v>
      </c>
      <c r="N523" s="7">
        <v>9.099999999999997E-3</v>
      </c>
      <c r="O523" s="7">
        <v>9.6000000000000113E-3</v>
      </c>
      <c r="P523" s="7">
        <v>-1.3999999999999985E-3</v>
      </c>
      <c r="Q523" s="7">
        <v>5.4179566563468118E-3</v>
      </c>
      <c r="R523" s="7">
        <v>-6.7539999999999996E-3</v>
      </c>
      <c r="S523" s="7">
        <v>6.3E-3</v>
      </c>
    </row>
    <row r="524" spans="1:19" x14ac:dyDescent="0.3">
      <c r="A524" s="3">
        <v>199007</v>
      </c>
      <c r="B524" s="6">
        <f t="shared" si="16"/>
        <v>-1.1240932888752775E-2</v>
      </c>
      <c r="C524" s="4">
        <f t="shared" si="17"/>
        <v>-1.1254E-2</v>
      </c>
      <c r="D524" s="5">
        <v>3.2907482802190087E-2</v>
      </c>
      <c r="E524" s="5">
        <v>3.2735601363052341E-2</v>
      </c>
      <c r="F524" s="7">
        <v>6.0143198090692122E-2</v>
      </c>
      <c r="G524" s="7">
        <v>0.54715219421101768</v>
      </c>
      <c r="H524" s="7">
        <v>1.2984369297386121E-3</v>
      </c>
      <c r="I524" s="7">
        <v>0.4392124466473909</v>
      </c>
      <c r="J524" s="7">
        <v>4.8850577914554411E-3</v>
      </c>
      <c r="K524" s="8">
        <v>7.6200000000000004E-2</v>
      </c>
      <c r="L524" s="8">
        <v>8.5999999999999993E-2</v>
      </c>
      <c r="M524" s="8">
        <v>1.0699999999999999E-2</v>
      </c>
      <c r="N524" s="7">
        <v>9.7999999999999893E-3</v>
      </c>
      <c r="O524" s="7">
        <v>9.5999999999999974E-3</v>
      </c>
      <c r="P524" s="7">
        <v>-4.9999999999999871E-4</v>
      </c>
      <c r="Q524" s="7">
        <v>3.8491147036181506E-3</v>
      </c>
      <c r="R524" s="7">
        <v>-4.4539999999999996E-3</v>
      </c>
      <c r="S524" s="7">
        <v>6.8000000000000005E-3</v>
      </c>
    </row>
    <row r="525" spans="1:19" x14ac:dyDescent="0.3">
      <c r="A525" s="3">
        <v>199008</v>
      </c>
      <c r="B525" s="6">
        <f t="shared" si="16"/>
        <v>-0.10176960223249214</v>
      </c>
      <c r="C525" s="4">
        <f t="shared" si="17"/>
        <v>-9.7401000000000001E-2</v>
      </c>
      <c r="D525" s="5">
        <v>3.6511036706349205E-2</v>
      </c>
      <c r="E525" s="5">
        <v>3.3067527727081283E-2</v>
      </c>
      <c r="F525" s="7">
        <v>6.6902281746031744E-2</v>
      </c>
      <c r="G525" s="7">
        <v>0.54573679332715475</v>
      </c>
      <c r="H525" s="7">
        <v>5.8277891593425295E-3</v>
      </c>
      <c r="I525" s="7">
        <v>0.48807356293700943</v>
      </c>
      <c r="J525" s="7">
        <v>1.4392107753076744E-3</v>
      </c>
      <c r="K525" s="8">
        <v>7.4499999999999997E-2</v>
      </c>
      <c r="L525" s="8">
        <v>9.1999999999999998E-2</v>
      </c>
      <c r="M525" s="8">
        <v>-4.19E-2</v>
      </c>
      <c r="N525" s="7">
        <v>1.7500000000000002E-2</v>
      </c>
      <c r="O525" s="7">
        <v>9.999999999999995E-3</v>
      </c>
      <c r="P525" s="7">
        <v>1.2699999999999999E-2</v>
      </c>
      <c r="Q525" s="7">
        <v>9.2024539877300082E-3</v>
      </c>
      <c r="R525" s="7">
        <v>-9.0801000000000007E-2</v>
      </c>
      <c r="S525" s="7">
        <v>6.6E-3</v>
      </c>
    </row>
    <row r="526" spans="1:19" x14ac:dyDescent="0.3">
      <c r="A526" s="3">
        <v>199009</v>
      </c>
      <c r="B526" s="6">
        <f t="shared" si="16"/>
        <v>-5.6180176530467814E-2</v>
      </c>
      <c r="C526" s="4">
        <f t="shared" si="17"/>
        <v>-5.4959000000000001E-2</v>
      </c>
      <c r="D526" s="5">
        <v>3.8666884495997381E-2</v>
      </c>
      <c r="E526" s="5">
        <v>3.6687748015873017E-2</v>
      </c>
      <c r="F526" s="7">
        <v>7.1034144747590261E-2</v>
      </c>
      <c r="G526" s="7">
        <v>0.54434222631094753</v>
      </c>
      <c r="H526" s="7">
        <v>1.9847914869206345E-3</v>
      </c>
      <c r="I526" s="7">
        <v>0.52028966597077242</v>
      </c>
      <c r="J526" s="7">
        <v>1.3728794527234269E-3</v>
      </c>
      <c r="K526" s="8">
        <v>7.3599999999999999E-2</v>
      </c>
      <c r="L526" s="8">
        <v>9.1399999999999995E-2</v>
      </c>
      <c r="M526" s="8">
        <v>1.17E-2</v>
      </c>
      <c r="N526" s="7">
        <v>1.7799999999999996E-2</v>
      </c>
      <c r="O526" s="7">
        <v>1.0800000000000004E-2</v>
      </c>
      <c r="P526" s="7">
        <v>-2.5999999999999999E-3</v>
      </c>
      <c r="Q526" s="7">
        <v>8.358662613981771E-3</v>
      </c>
      <c r="R526" s="7">
        <v>-4.8959000000000003E-2</v>
      </c>
      <c r="S526" s="7">
        <v>6.0000000000000001E-3</v>
      </c>
    </row>
    <row r="527" spans="1:19" x14ac:dyDescent="0.3">
      <c r="A527" s="3">
        <v>199010</v>
      </c>
      <c r="B527" s="6">
        <f t="shared" si="16"/>
        <v>-1.038046903864742E-2</v>
      </c>
      <c r="C527" s="4">
        <f t="shared" si="17"/>
        <v>-1.0397E-2</v>
      </c>
      <c r="D527" s="5">
        <v>3.9203947368421053E-2</v>
      </c>
      <c r="E527" s="5">
        <v>3.8941349452703805E-2</v>
      </c>
      <c r="F527" s="7">
        <v>7.1074561403508763E-2</v>
      </c>
      <c r="G527" s="7">
        <v>0.55158901573588393</v>
      </c>
      <c r="H527" s="7">
        <v>4.492763947883038E-3</v>
      </c>
      <c r="I527" s="7">
        <v>0.52245192091158854</v>
      </c>
      <c r="J527" s="7">
        <v>-4.7068360280085161E-4</v>
      </c>
      <c r="K527" s="8">
        <v>7.17E-2</v>
      </c>
      <c r="L527" s="8">
        <v>8.9800000000000005E-2</v>
      </c>
      <c r="M527" s="8">
        <v>2.1499999999999998E-2</v>
      </c>
      <c r="N527" s="7">
        <v>1.8100000000000005E-2</v>
      </c>
      <c r="O527" s="7">
        <v>1.21E-2</v>
      </c>
      <c r="P527" s="7">
        <v>-8.2999999999999984E-3</v>
      </c>
      <c r="Q527" s="7">
        <v>6.0286360211003753E-3</v>
      </c>
      <c r="R527" s="7">
        <v>-3.5969999999999999E-3</v>
      </c>
      <c r="S527" s="7">
        <v>6.8000000000000005E-3</v>
      </c>
    </row>
    <row r="528" spans="1:19" x14ac:dyDescent="0.3">
      <c r="A528" s="3">
        <v>199011</v>
      </c>
      <c r="B528" s="6">
        <f t="shared" si="16"/>
        <v>5.6878691139837727E-2</v>
      </c>
      <c r="C528" s="4">
        <f t="shared" si="17"/>
        <v>5.8860999999999997E-2</v>
      </c>
      <c r="D528" s="5">
        <v>3.7247843088573027E-2</v>
      </c>
      <c r="E528" s="5">
        <v>3.948026315789474E-2</v>
      </c>
      <c r="F528" s="7">
        <v>6.664183890923385E-2</v>
      </c>
      <c r="G528" s="7">
        <v>0.55892579944116738</v>
      </c>
      <c r="H528" s="7">
        <v>2.439892152473761E-3</v>
      </c>
      <c r="I528" s="7">
        <v>0.49850565507002909</v>
      </c>
      <c r="J528" s="7">
        <v>9.0988702268621907E-4</v>
      </c>
      <c r="K528" s="8">
        <v>7.0599999999999996E-2</v>
      </c>
      <c r="L528" s="8">
        <v>8.5800000000000001E-2</v>
      </c>
      <c r="M528" s="8">
        <v>4.02E-2</v>
      </c>
      <c r="N528" s="7">
        <v>1.5200000000000005E-2</v>
      </c>
      <c r="O528" s="7">
        <v>1.3199999999999976E-2</v>
      </c>
      <c r="P528" s="7">
        <v>-1.1699999999999999E-2</v>
      </c>
      <c r="Q528" s="7">
        <v>2.2471910112360494E-3</v>
      </c>
      <c r="R528" s="7">
        <v>6.4560999999999993E-2</v>
      </c>
      <c r="S528" s="7">
        <v>5.6999999999999993E-3</v>
      </c>
    </row>
    <row r="529" spans="1:19" x14ac:dyDescent="0.3">
      <c r="A529" s="3">
        <v>199012</v>
      </c>
      <c r="B529" s="6">
        <f t="shared" si="16"/>
        <v>2.1620449361068744E-2</v>
      </c>
      <c r="C529" s="4">
        <f t="shared" si="17"/>
        <v>2.1987E-2</v>
      </c>
      <c r="D529" s="5">
        <v>3.6599842529222937E-2</v>
      </c>
      <c r="E529" s="5">
        <v>3.7508534541617525E-2</v>
      </c>
      <c r="F529" s="7">
        <v>6.4623584277148552E-2</v>
      </c>
      <c r="G529" s="7">
        <v>0.56635426429240876</v>
      </c>
      <c r="H529" s="7">
        <v>7.9459580061841124E-4</v>
      </c>
      <c r="I529" s="7">
        <v>0.4844968598832044</v>
      </c>
      <c r="J529" s="7">
        <v>-1.8459043801950571E-3</v>
      </c>
      <c r="K529" s="8">
        <v>6.7400000000000002E-2</v>
      </c>
      <c r="L529" s="8">
        <v>8.4400000000000003E-2</v>
      </c>
      <c r="M529" s="8">
        <v>1.8700000000000001E-2</v>
      </c>
      <c r="N529" s="7">
        <v>1.7000000000000001E-2</v>
      </c>
      <c r="O529" s="7">
        <v>1.3799999999999993E-2</v>
      </c>
      <c r="P529" s="7">
        <v>-2.0000000000000018E-3</v>
      </c>
      <c r="Q529" s="7">
        <v>0</v>
      </c>
      <c r="R529" s="7">
        <v>2.7987000000000001E-2</v>
      </c>
      <c r="S529" s="7">
        <v>6.0000000000000001E-3</v>
      </c>
    </row>
    <row r="530" spans="1:19" x14ac:dyDescent="0.3">
      <c r="A530" s="3">
        <v>199101</v>
      </c>
      <c r="B530" s="6">
        <f t="shared" si="16"/>
        <v>3.8831315666815421E-2</v>
      </c>
      <c r="C530" s="4">
        <f t="shared" si="17"/>
        <v>3.9801000000000003E-2</v>
      </c>
      <c r="D530" s="5">
        <v>3.5164132236210857E-2</v>
      </c>
      <c r="E530" s="5">
        <v>3.6624068802616441E-2</v>
      </c>
      <c r="F530" s="7">
        <v>6.1659833880925372E-2</v>
      </c>
      <c r="G530" s="7">
        <v>0.57029236089280111</v>
      </c>
      <c r="H530" s="7">
        <v>3.1935486193496172E-3</v>
      </c>
      <c r="I530" s="7">
        <v>0.46630779969229535</v>
      </c>
      <c r="J530" s="7">
        <v>7.2155705303941883E-4</v>
      </c>
      <c r="K530" s="8">
        <v>6.2199999999999998E-2</v>
      </c>
      <c r="L530" s="8">
        <v>8.3699999999999997E-2</v>
      </c>
      <c r="M530" s="8">
        <v>1.2999999999999999E-2</v>
      </c>
      <c r="N530" s="7">
        <v>2.1499999999999998E-2</v>
      </c>
      <c r="O530" s="7">
        <v>1.4100000000000001E-2</v>
      </c>
      <c r="P530" s="7">
        <v>2E-3</v>
      </c>
      <c r="Q530" s="7">
        <v>5.9790732436471039E-3</v>
      </c>
      <c r="R530" s="7">
        <v>4.5000999999999999E-2</v>
      </c>
      <c r="S530" s="7">
        <v>5.1999999999999998E-3</v>
      </c>
    </row>
    <row r="531" spans="1:19" x14ac:dyDescent="0.3">
      <c r="A531" s="3">
        <v>199102</v>
      </c>
      <c r="B531" s="6">
        <f t="shared" si="16"/>
        <v>6.4331679982287018E-2</v>
      </c>
      <c r="C531" s="4">
        <f t="shared" si="17"/>
        <v>6.6765000000000005E-2</v>
      </c>
      <c r="D531" s="5">
        <v>3.2969188438172557E-2</v>
      </c>
      <c r="E531" s="5">
        <v>3.5187392783415233E-2</v>
      </c>
      <c r="F531" s="7">
        <v>5.7409576738315128E-2</v>
      </c>
      <c r="G531" s="7">
        <v>0.57428029104713696</v>
      </c>
      <c r="H531" s="7">
        <v>2.4313467391365987E-3</v>
      </c>
      <c r="I531" s="7">
        <v>0.44272044077746708</v>
      </c>
      <c r="J531" s="7">
        <v>1.2468954583051053E-3</v>
      </c>
      <c r="K531" s="8">
        <v>5.9400000000000001E-2</v>
      </c>
      <c r="L531" s="8">
        <v>8.4099999999999994E-2</v>
      </c>
      <c r="M531" s="8">
        <v>3.0000000000000001E-3</v>
      </c>
      <c r="N531" s="7">
        <v>2.4699999999999993E-2</v>
      </c>
      <c r="O531" s="7">
        <v>1.2399999999999994E-2</v>
      </c>
      <c r="P531" s="7">
        <v>9.1000000000000004E-3</v>
      </c>
      <c r="Q531" s="7">
        <v>1.4858841010403356E-3</v>
      </c>
      <c r="R531" s="7">
        <v>7.1565000000000004E-2</v>
      </c>
      <c r="S531" s="7">
        <v>4.7999999999999996E-3</v>
      </c>
    </row>
    <row r="532" spans="1:19" x14ac:dyDescent="0.3">
      <c r="A532" s="3">
        <v>199103</v>
      </c>
      <c r="B532" s="6">
        <f t="shared" si="16"/>
        <v>1.9671821699466022E-2</v>
      </c>
      <c r="C532" s="4">
        <f t="shared" si="17"/>
        <v>1.9954E-2</v>
      </c>
      <c r="D532" s="5">
        <v>3.2274399019242041E-2</v>
      </c>
      <c r="E532" s="5">
        <v>3.299098264636173E-2</v>
      </c>
      <c r="F532" s="7">
        <v>5.5807259740951971E-2</v>
      </c>
      <c r="G532" s="7">
        <v>0.57831900668576885</v>
      </c>
      <c r="H532" s="7">
        <v>1.3750554843058975E-3</v>
      </c>
      <c r="I532" s="7">
        <v>0.45712559971995909</v>
      </c>
      <c r="J532" s="7">
        <v>3.2513976871146005E-3</v>
      </c>
      <c r="K532" s="8">
        <v>5.91E-2</v>
      </c>
      <c r="L532" s="8">
        <v>8.4400000000000003E-2</v>
      </c>
      <c r="M532" s="8">
        <v>3.8E-3</v>
      </c>
      <c r="N532" s="7">
        <v>2.5300000000000003E-2</v>
      </c>
      <c r="O532" s="7">
        <v>1.1600000000000013E-2</v>
      </c>
      <c r="P532" s="7">
        <v>7.000000000000001E-3</v>
      </c>
      <c r="Q532" s="7">
        <v>1.4836795252224366E-3</v>
      </c>
      <c r="R532" s="7">
        <v>2.4354000000000001E-2</v>
      </c>
      <c r="S532" s="7">
        <v>4.4000000000000003E-3</v>
      </c>
    </row>
    <row r="533" spans="1:19" x14ac:dyDescent="0.3">
      <c r="A533" s="3">
        <v>199104</v>
      </c>
      <c r="B533" s="6">
        <f t="shared" si="16"/>
        <v>-3.0205724591093092E-3</v>
      </c>
      <c r="C533" s="4">
        <f t="shared" si="17"/>
        <v>-3.032E-3</v>
      </c>
      <c r="D533" s="5">
        <v>3.2296079214954927E-2</v>
      </c>
      <c r="E533" s="5">
        <v>3.2307268624629105E-2</v>
      </c>
      <c r="F533" s="7">
        <v>5.4429199413880372E-2</v>
      </c>
      <c r="G533" s="7">
        <v>0.59335943873388808</v>
      </c>
      <c r="H533" s="7">
        <v>2.0727744645301178E-3</v>
      </c>
      <c r="I533" s="7">
        <v>0.46123959873540016</v>
      </c>
      <c r="J533" s="7">
        <v>5.7301571469472682E-3</v>
      </c>
      <c r="K533" s="8">
        <v>5.6500000000000002E-2</v>
      </c>
      <c r="L533" s="8">
        <v>8.3699999999999997E-2</v>
      </c>
      <c r="M533" s="8">
        <v>1.4E-2</v>
      </c>
      <c r="N533" s="7">
        <v>2.7199999999999995E-2</v>
      </c>
      <c r="O533" s="7">
        <v>1.079999999999999E-2</v>
      </c>
      <c r="P533" s="7">
        <v>-2.0000000000000052E-4</v>
      </c>
      <c r="Q533" s="7">
        <v>1.481481481481417E-3</v>
      </c>
      <c r="R533" s="7">
        <v>2.2680000000000001E-3</v>
      </c>
      <c r="S533" s="7">
        <v>5.3E-3</v>
      </c>
    </row>
    <row r="534" spans="1:19" x14ac:dyDescent="0.3">
      <c r="A534" s="3">
        <v>199105</v>
      </c>
      <c r="B534" s="6">
        <f t="shared" si="16"/>
        <v>3.7345070186292531E-2</v>
      </c>
      <c r="C534" s="4">
        <f t="shared" si="17"/>
        <v>3.823E-2</v>
      </c>
      <c r="D534" s="5">
        <v>3.11280985728822E-2</v>
      </c>
      <c r="E534" s="5">
        <v>3.2328937436170685E-2</v>
      </c>
      <c r="F534" s="7">
        <v>5.1099197085909251E-2</v>
      </c>
      <c r="G534" s="7">
        <v>0.60917001338688082</v>
      </c>
      <c r="H534" s="7">
        <v>1.5851689874718281E-3</v>
      </c>
      <c r="I534" s="7">
        <v>0.43996696944673824</v>
      </c>
      <c r="J534" s="7">
        <v>6.9821023186344422E-3</v>
      </c>
      <c r="K534" s="8">
        <v>5.4600000000000003E-2</v>
      </c>
      <c r="L534" s="8">
        <v>8.4500000000000006E-2</v>
      </c>
      <c r="M534" s="8">
        <v>0</v>
      </c>
      <c r="N534" s="7">
        <v>2.9900000000000003E-2</v>
      </c>
      <c r="O534" s="7">
        <v>9.999999999999995E-3</v>
      </c>
      <c r="P534" s="7">
        <v>3.8999999999999998E-3</v>
      </c>
      <c r="Q534" s="7">
        <v>2.9585798816569309E-3</v>
      </c>
      <c r="R534" s="7">
        <v>4.2930000000000003E-2</v>
      </c>
      <c r="S534" s="7">
        <v>4.6999999999999993E-3</v>
      </c>
    </row>
    <row r="535" spans="1:19" x14ac:dyDescent="0.3">
      <c r="A535" s="3">
        <v>199106</v>
      </c>
      <c r="B535" s="6">
        <f t="shared" si="16"/>
        <v>-5.0609034998261429E-2</v>
      </c>
      <c r="C535" s="4">
        <f t="shared" si="17"/>
        <v>-4.9557000000000004E-2</v>
      </c>
      <c r="D535" s="5">
        <v>3.2727125767862915E-2</v>
      </c>
      <c r="E535" s="5">
        <v>3.1159736295308212E-2</v>
      </c>
      <c r="F535" s="7">
        <v>5.2295505981247978E-2</v>
      </c>
      <c r="G535" s="7">
        <v>0.62581143740340028</v>
      </c>
      <c r="H535" s="7">
        <v>1.1798904421459974E-3</v>
      </c>
      <c r="I535" s="7">
        <v>0.45824374301195492</v>
      </c>
      <c r="J535" s="7">
        <v>1.4247487395344205E-2</v>
      </c>
      <c r="K535" s="8">
        <v>5.57E-2</v>
      </c>
      <c r="L535" s="8">
        <v>8.5999999999999993E-2</v>
      </c>
      <c r="M535" s="8">
        <v>-6.3E-3</v>
      </c>
      <c r="N535" s="7">
        <v>3.0299999999999994E-2</v>
      </c>
      <c r="O535" s="7">
        <v>9.5000000000000084E-3</v>
      </c>
      <c r="P535" s="7">
        <v>4.5000000000000005E-3</v>
      </c>
      <c r="Q535" s="7">
        <v>2.9498525073747839E-3</v>
      </c>
      <c r="R535" s="7">
        <v>-4.5357000000000001E-2</v>
      </c>
      <c r="S535" s="7">
        <v>4.1999999999999997E-3</v>
      </c>
    </row>
    <row r="536" spans="1:19" x14ac:dyDescent="0.3">
      <c r="A536" s="3">
        <v>199107</v>
      </c>
      <c r="B536" s="6">
        <f t="shared" si="16"/>
        <v>4.0588073243013507E-2</v>
      </c>
      <c r="C536" s="4">
        <f t="shared" si="17"/>
        <v>4.1625999999999996E-2</v>
      </c>
      <c r="D536" s="5">
        <v>3.1432058654151947E-2</v>
      </c>
      <c r="E536" s="5">
        <v>3.2842080683981749E-2</v>
      </c>
      <c r="F536" s="7">
        <v>4.8683633738170751E-2</v>
      </c>
      <c r="G536" s="7">
        <v>0.64563912429378534</v>
      </c>
      <c r="H536" s="7">
        <v>1.1053299091358607E-3</v>
      </c>
      <c r="I536" s="7">
        <v>0.44035678156055563</v>
      </c>
      <c r="J536" s="7">
        <v>1.4835553852523173E-2</v>
      </c>
      <c r="K536" s="8">
        <v>5.5800000000000002E-2</v>
      </c>
      <c r="L536" s="8">
        <v>8.5000000000000006E-2</v>
      </c>
      <c r="M536" s="8">
        <v>1.5699999999999999E-2</v>
      </c>
      <c r="N536" s="7">
        <v>2.9200000000000004E-2</v>
      </c>
      <c r="O536" s="7">
        <v>8.9000000000000051E-3</v>
      </c>
      <c r="P536" s="7">
        <v>1.0000000000000009E-3</v>
      </c>
      <c r="Q536" s="7">
        <v>1.4705882352941124E-3</v>
      </c>
      <c r="R536" s="7">
        <v>4.6525999999999998E-2</v>
      </c>
      <c r="S536" s="7">
        <v>4.8999999999999998E-3</v>
      </c>
    </row>
    <row r="537" spans="1:19" x14ac:dyDescent="0.3">
      <c r="A537" s="3">
        <v>199108</v>
      </c>
      <c r="B537" s="6">
        <f t="shared" si="16"/>
        <v>1.9014763289365154E-2</v>
      </c>
      <c r="C537" s="4">
        <f t="shared" si="17"/>
        <v>1.9285E-2</v>
      </c>
      <c r="D537" s="5">
        <v>3.0934257222095776E-2</v>
      </c>
      <c r="E537" s="5">
        <v>3.1542078165424647E-2</v>
      </c>
      <c r="F537" s="7">
        <v>4.6405179172040567E-2</v>
      </c>
      <c r="G537" s="7">
        <v>0.66661217075386003</v>
      </c>
      <c r="H537" s="7">
        <v>2.0376369415807836E-3</v>
      </c>
      <c r="I537" s="7">
        <v>0.437639637271652</v>
      </c>
      <c r="J537" s="7">
        <v>1.7331297250607891E-2</v>
      </c>
      <c r="K537" s="8">
        <v>5.33E-2</v>
      </c>
      <c r="L537" s="8">
        <v>8.1799999999999998E-2</v>
      </c>
      <c r="M537" s="8">
        <v>3.4000000000000002E-2</v>
      </c>
      <c r="N537" s="7">
        <v>2.8499999999999998E-2</v>
      </c>
      <c r="O537" s="7">
        <v>9.000000000000008E-3</v>
      </c>
      <c r="P537" s="7">
        <v>-6.5000000000000023E-3</v>
      </c>
      <c r="Q537" s="7">
        <v>2.936857562408246E-3</v>
      </c>
      <c r="R537" s="7">
        <v>2.3885E-2</v>
      </c>
      <c r="S537" s="7">
        <v>4.5999999999999999E-3</v>
      </c>
    </row>
    <row r="538" spans="1:19" x14ac:dyDescent="0.3">
      <c r="A538" s="3">
        <v>199109</v>
      </c>
      <c r="B538" s="6">
        <f t="shared" si="16"/>
        <v>-2.1594217299644808E-2</v>
      </c>
      <c r="C538" s="4">
        <f t="shared" si="17"/>
        <v>-2.1461000000000001E-2</v>
      </c>
      <c r="D538" s="5">
        <v>3.1648017325839217E-2</v>
      </c>
      <c r="E538" s="5">
        <v>3.1042156639607511E-2</v>
      </c>
      <c r="F538" s="7">
        <v>4.594441293250142E-2</v>
      </c>
      <c r="G538" s="7">
        <v>0.68883277216610539</v>
      </c>
      <c r="H538" s="7">
        <v>4.7469663560379554E-4</v>
      </c>
      <c r="I538" s="7">
        <v>0.44153183703099674</v>
      </c>
      <c r="J538" s="7">
        <v>2.3289041606945612E-2</v>
      </c>
      <c r="K538" s="8">
        <v>5.2199999999999996E-2</v>
      </c>
      <c r="L538" s="8">
        <v>7.9000000000000001E-2</v>
      </c>
      <c r="M538" s="8">
        <v>3.0300000000000001E-2</v>
      </c>
      <c r="N538" s="7">
        <v>2.6800000000000004E-2</v>
      </c>
      <c r="O538" s="7">
        <v>9.000000000000008E-3</v>
      </c>
      <c r="P538" s="7">
        <v>-3.2000000000000015E-3</v>
      </c>
      <c r="Q538" s="7">
        <v>4.3923865300146137E-3</v>
      </c>
      <c r="R538" s="7">
        <v>-1.6861000000000001E-2</v>
      </c>
      <c r="S538" s="7">
        <v>4.5999999999999999E-3</v>
      </c>
    </row>
    <row r="539" spans="1:19" x14ac:dyDescent="0.3">
      <c r="A539" s="3">
        <v>199110</v>
      </c>
      <c r="B539" s="6">
        <f t="shared" si="16"/>
        <v>9.1770408802254698E-3</v>
      </c>
      <c r="C539" s="4">
        <f t="shared" si="17"/>
        <v>9.2579999999999989E-3</v>
      </c>
      <c r="D539" s="5">
        <v>3.1215920093767512E-2</v>
      </c>
      <c r="E539" s="5">
        <v>3.1586139328623725E-2</v>
      </c>
      <c r="F539" s="7">
        <v>4.3834615841954173E-2</v>
      </c>
      <c r="G539" s="7">
        <v>0.71212943228056569</v>
      </c>
      <c r="H539" s="7">
        <v>1.1256624322622082E-3</v>
      </c>
      <c r="I539" s="7">
        <v>0.43400345378123883</v>
      </c>
      <c r="J539" s="7">
        <v>2.5508894731033162E-2</v>
      </c>
      <c r="K539" s="8">
        <v>4.99E-2</v>
      </c>
      <c r="L539" s="8">
        <v>7.9100000000000004E-2</v>
      </c>
      <c r="M539" s="8">
        <v>5.4000000000000003E-3</v>
      </c>
      <c r="N539" s="7">
        <v>2.9200000000000004E-2</v>
      </c>
      <c r="O539" s="7">
        <v>9.3999999999999917E-3</v>
      </c>
      <c r="P539" s="7">
        <v>-1.1000000000000003E-3</v>
      </c>
      <c r="Q539" s="7">
        <v>1.4577259475219151E-3</v>
      </c>
      <c r="R539" s="7">
        <v>1.3457999999999999E-2</v>
      </c>
      <c r="S539" s="7">
        <v>4.1999999999999997E-3</v>
      </c>
    </row>
    <row r="540" spans="1:19" x14ac:dyDescent="0.3">
      <c r="A540" s="3">
        <v>199111</v>
      </c>
      <c r="B540" s="6">
        <f t="shared" si="16"/>
        <v>-4.4937350751878755E-2</v>
      </c>
      <c r="C540" s="4">
        <f t="shared" si="17"/>
        <v>-4.4114E-2</v>
      </c>
      <c r="D540" s="5">
        <v>3.258621608656255E-2</v>
      </c>
      <c r="E540" s="5">
        <v>3.1154767364826991E-2</v>
      </c>
      <c r="F540" s="7">
        <v>4.4205177407032316E-2</v>
      </c>
      <c r="G540" s="7">
        <v>0.73715836012861746</v>
      </c>
      <c r="H540" s="7">
        <v>2.0490197393085588E-3</v>
      </c>
      <c r="I540" s="7">
        <v>0.46015449030635514</v>
      </c>
      <c r="J540" s="7">
        <v>3.068994690533116E-2</v>
      </c>
      <c r="K540" s="8">
        <v>4.5599999999999995E-2</v>
      </c>
      <c r="L540" s="8">
        <v>7.8899999999999998E-2</v>
      </c>
      <c r="M540" s="8">
        <v>8.2000000000000007E-3</v>
      </c>
      <c r="N540" s="7">
        <v>3.3300000000000003E-2</v>
      </c>
      <c r="O540" s="7">
        <v>9.6999999999999864E-3</v>
      </c>
      <c r="P540" s="7">
        <v>2.3999999999999994E-3</v>
      </c>
      <c r="Q540" s="7">
        <v>2.9112081513829047E-3</v>
      </c>
      <c r="R540" s="7">
        <v>-4.0214E-2</v>
      </c>
      <c r="S540" s="7">
        <v>3.9000000000000003E-3</v>
      </c>
    </row>
    <row r="541" spans="1:19" x14ac:dyDescent="0.3">
      <c r="A541" s="3">
        <v>199112</v>
      </c>
      <c r="B541" s="6">
        <f t="shared" si="16"/>
        <v>0.10424423235524949</v>
      </c>
      <c r="C541" s="4">
        <f t="shared" si="17"/>
        <v>0.110289</v>
      </c>
      <c r="D541" s="5">
        <v>2.92574744060035E-2</v>
      </c>
      <c r="E541" s="5">
        <v>3.2522253611214753E-2</v>
      </c>
      <c r="F541" s="7">
        <v>3.8289098276151429E-2</v>
      </c>
      <c r="G541" s="7">
        <v>0.76412022542266755</v>
      </c>
      <c r="H541" s="7">
        <v>2.0495495275665832E-3</v>
      </c>
      <c r="I541" s="7">
        <v>0.42034441734015393</v>
      </c>
      <c r="J541" s="7">
        <v>3.1812383395968778E-2</v>
      </c>
      <c r="K541" s="8">
        <v>4.07E-2</v>
      </c>
      <c r="L541" s="8">
        <v>7.2999999999999995E-2</v>
      </c>
      <c r="M541" s="8">
        <v>5.8099999999999999E-2</v>
      </c>
      <c r="N541" s="7">
        <v>3.2299999999999995E-2</v>
      </c>
      <c r="O541" s="7">
        <v>9.4999999999999946E-3</v>
      </c>
      <c r="P541" s="7">
        <v>-1.4499999999999999E-2</v>
      </c>
      <c r="Q541" s="7">
        <v>7.2568940493455969E-4</v>
      </c>
      <c r="R541" s="7">
        <v>0.114089</v>
      </c>
      <c r="S541" s="7">
        <v>3.8E-3</v>
      </c>
    </row>
    <row r="542" spans="1:19" x14ac:dyDescent="0.3">
      <c r="A542" s="3">
        <v>199201</v>
      </c>
      <c r="B542" s="6">
        <f t="shared" si="16"/>
        <v>-2.1912645321436424E-2</v>
      </c>
      <c r="C542" s="4">
        <f t="shared" si="17"/>
        <v>-2.1748E-2</v>
      </c>
      <c r="D542" s="5">
        <v>2.9950178168089561E-2</v>
      </c>
      <c r="E542" s="5">
        <v>2.9354176157024462E-2</v>
      </c>
      <c r="F542" s="7">
        <v>3.9245904580183795E-2</v>
      </c>
      <c r="G542" s="7">
        <v>0.76314149179306046</v>
      </c>
      <c r="H542" s="7">
        <v>8.7244268336568974E-4</v>
      </c>
      <c r="I542" s="7">
        <v>0.4132296784533297</v>
      </c>
      <c r="J542" s="7">
        <v>3.1941468275817037E-2</v>
      </c>
      <c r="K542" s="8">
        <v>3.7999999999999999E-2</v>
      </c>
      <c r="L542" s="8">
        <v>7.7600000000000002E-2</v>
      </c>
      <c r="M542" s="8">
        <v>-3.2399999999999998E-2</v>
      </c>
      <c r="N542" s="7">
        <v>3.9600000000000003E-2</v>
      </c>
      <c r="O542" s="7">
        <v>9.3000000000000166E-3</v>
      </c>
      <c r="P542" s="7">
        <v>1.5099999999999999E-2</v>
      </c>
      <c r="Q542" s="7">
        <v>1.4503263234226793E-3</v>
      </c>
      <c r="R542" s="7">
        <v>-1.8348E-2</v>
      </c>
      <c r="S542" s="7">
        <v>3.4000000000000002E-3</v>
      </c>
    </row>
    <row r="543" spans="1:19" x14ac:dyDescent="0.3">
      <c r="A543" s="3">
        <v>199202</v>
      </c>
      <c r="B543" s="6">
        <f t="shared" si="16"/>
        <v>9.9868615614285214E-3</v>
      </c>
      <c r="C543" s="4">
        <f t="shared" si="17"/>
        <v>1.0064999999999999E-2</v>
      </c>
      <c r="D543" s="5">
        <v>2.9764154753250945E-2</v>
      </c>
      <c r="E543" s="5">
        <v>3.0048843334393366E-2</v>
      </c>
      <c r="F543" s="7">
        <v>3.9051772877796626E-2</v>
      </c>
      <c r="G543" s="7">
        <v>0.76217166494312294</v>
      </c>
      <c r="H543" s="7">
        <v>9.1322824327349486E-4</v>
      </c>
      <c r="I543" s="7">
        <v>0.40763052516093295</v>
      </c>
      <c r="J543" s="7">
        <v>3.3556022037698925E-2</v>
      </c>
      <c r="K543" s="8">
        <v>3.8399999999999997E-2</v>
      </c>
      <c r="L543" s="8">
        <v>7.7700000000000005E-2</v>
      </c>
      <c r="M543" s="8">
        <v>5.1000000000000004E-3</v>
      </c>
      <c r="N543" s="7">
        <v>3.9300000000000009E-2</v>
      </c>
      <c r="O543" s="7">
        <v>9.4000000000000195E-3</v>
      </c>
      <c r="P543" s="7">
        <v>4.4999999999999988E-3</v>
      </c>
      <c r="Q543" s="7">
        <v>3.6205648081100161E-3</v>
      </c>
      <c r="R543" s="7">
        <v>1.2865E-2</v>
      </c>
      <c r="S543" s="7">
        <v>2.8000000000000004E-3</v>
      </c>
    </row>
    <row r="544" spans="1:19" x14ac:dyDescent="0.3">
      <c r="A544" s="3">
        <v>199203</v>
      </c>
      <c r="B544" s="6">
        <f t="shared" si="16"/>
        <v>-2.3056270247448937E-2</v>
      </c>
      <c r="C544" s="4">
        <f t="shared" si="17"/>
        <v>-2.2870000000000001E-2</v>
      </c>
      <c r="D544" s="5">
        <v>3.0528375733855181E-2</v>
      </c>
      <c r="E544" s="5">
        <v>2.9861885146595588E-2</v>
      </c>
      <c r="F544" s="7">
        <v>4.0105031088211257E-2</v>
      </c>
      <c r="G544" s="7">
        <v>0.76121062384187754</v>
      </c>
      <c r="H544" s="7">
        <v>4.6975729646055121E-4</v>
      </c>
      <c r="I544" s="7">
        <v>0.40210603421764723</v>
      </c>
      <c r="J544" s="7">
        <v>4.1900536442667682E-2</v>
      </c>
      <c r="K544" s="8">
        <v>4.0399999999999998E-2</v>
      </c>
      <c r="L544" s="8">
        <v>7.9699999999999993E-2</v>
      </c>
      <c r="M544" s="8">
        <v>-9.4000000000000004E-3</v>
      </c>
      <c r="N544" s="7">
        <v>3.9299999999999995E-2</v>
      </c>
      <c r="O544" s="7">
        <v>9.000000000000008E-3</v>
      </c>
      <c r="P544" s="7">
        <v>2.1000000000000003E-3</v>
      </c>
      <c r="Q544" s="7">
        <v>5.050505050505194E-3</v>
      </c>
      <c r="R544" s="7">
        <v>-1.9470000000000001E-2</v>
      </c>
      <c r="S544" s="7">
        <v>3.4000000000000002E-3</v>
      </c>
    </row>
    <row r="545" spans="1:19" x14ac:dyDescent="0.3">
      <c r="A545" s="3">
        <v>199204</v>
      </c>
      <c r="B545" s="6">
        <f t="shared" si="16"/>
        <v>2.5017374102569413E-2</v>
      </c>
      <c r="C545" s="4">
        <f t="shared" si="17"/>
        <v>2.5413999999999999E-2</v>
      </c>
      <c r="D545" s="5">
        <v>2.9696750612523599E-2</v>
      </c>
      <c r="E545" s="5">
        <v>3.0525072869446026E-2</v>
      </c>
      <c r="F545" s="7">
        <v>3.9707595292605535E-2</v>
      </c>
      <c r="G545" s="7">
        <v>0.74788589925146676</v>
      </c>
      <c r="H545" s="7">
        <v>1.6610435962213363E-3</v>
      </c>
      <c r="I545" s="7">
        <v>0.38730347176926833</v>
      </c>
      <c r="J545" s="7">
        <v>3.8661809397087424E-2</v>
      </c>
      <c r="K545" s="8">
        <v>3.7499999999999999E-2</v>
      </c>
      <c r="L545" s="8">
        <v>8.0299999999999996E-2</v>
      </c>
      <c r="M545" s="8">
        <v>1.6000000000000001E-3</v>
      </c>
      <c r="N545" s="7">
        <v>4.2799999999999998E-2</v>
      </c>
      <c r="O545" s="7">
        <v>8.8000000000000161E-3</v>
      </c>
      <c r="P545" s="7">
        <v>0</v>
      </c>
      <c r="Q545" s="7">
        <v>1.43575017946862E-3</v>
      </c>
      <c r="R545" s="7">
        <v>2.8614000000000001E-2</v>
      </c>
      <c r="S545" s="7">
        <v>3.2000000000000002E-3</v>
      </c>
    </row>
    <row r="546" spans="1:19" x14ac:dyDescent="0.3">
      <c r="A546" s="3">
        <v>199205</v>
      </c>
      <c r="B546" s="6">
        <f t="shared" si="16"/>
        <v>2.0421893382480466E-3</v>
      </c>
      <c r="C546" s="4">
        <f t="shared" si="17"/>
        <v>2.0499999999999997E-3</v>
      </c>
      <c r="D546" s="5">
        <v>2.9664941214236983E-2</v>
      </c>
      <c r="E546" s="5">
        <v>2.9693537373980797E-2</v>
      </c>
      <c r="F546" s="7">
        <v>4.0359536134184026E-2</v>
      </c>
      <c r="G546" s="7">
        <v>0.73501690196858205</v>
      </c>
      <c r="H546" s="7">
        <v>6.9002881588027618E-4</v>
      </c>
      <c r="I546" s="7">
        <v>0.38299851628553261</v>
      </c>
      <c r="J546" s="7">
        <v>3.7175490670135689E-2</v>
      </c>
      <c r="K546" s="8">
        <v>3.6299999999999999E-2</v>
      </c>
      <c r="L546" s="8">
        <v>7.8100000000000003E-2</v>
      </c>
      <c r="M546" s="8">
        <v>2.4299999999999999E-2</v>
      </c>
      <c r="N546" s="7">
        <v>4.1800000000000004E-2</v>
      </c>
      <c r="O546" s="7">
        <v>8.5000000000000075E-3</v>
      </c>
      <c r="P546" s="7">
        <v>1.1000000000000003E-3</v>
      </c>
      <c r="Q546" s="7">
        <v>1.4336917562722817E-3</v>
      </c>
      <c r="R546" s="7">
        <v>4.8500000000000001E-3</v>
      </c>
      <c r="S546" s="7">
        <v>2.8000000000000004E-3</v>
      </c>
    </row>
    <row r="547" spans="1:19" x14ac:dyDescent="0.3">
      <c r="A547" s="3">
        <v>199206</v>
      </c>
      <c r="B547" s="6">
        <f t="shared" si="16"/>
        <v>-1.8338986023178683E-2</v>
      </c>
      <c r="C547" s="4">
        <f t="shared" si="17"/>
        <v>-1.823E-2</v>
      </c>
      <c r="D547" s="5">
        <v>3.0185720586073408E-2</v>
      </c>
      <c r="E547" s="5">
        <v>2.9661731070181774E-2</v>
      </c>
      <c r="F547" s="7">
        <v>4.1774881168226592E-2</v>
      </c>
      <c r="G547" s="7">
        <v>0.72258064516129028</v>
      </c>
      <c r="H547" s="7">
        <v>7.5291922085405109E-4</v>
      </c>
      <c r="I547" s="7">
        <v>0.39204235383314068</v>
      </c>
      <c r="J547" s="7">
        <v>4.3076560760196829E-2</v>
      </c>
      <c r="K547" s="8">
        <v>3.6600000000000001E-2</v>
      </c>
      <c r="L547" s="8">
        <v>7.6499999999999999E-2</v>
      </c>
      <c r="M547" s="8">
        <v>0.02</v>
      </c>
      <c r="N547" s="7">
        <v>3.9899999999999998E-2</v>
      </c>
      <c r="O547" s="7">
        <v>8.3000000000000018E-3</v>
      </c>
      <c r="P547" s="7">
        <v>-4.4000000000000011E-3</v>
      </c>
      <c r="Q547" s="7">
        <v>3.5790980672869566E-3</v>
      </c>
      <c r="R547" s="7">
        <v>-1.503E-2</v>
      </c>
      <c r="S547" s="7">
        <v>3.2000000000000002E-3</v>
      </c>
    </row>
    <row r="548" spans="1:19" x14ac:dyDescent="0.3">
      <c r="A548" s="3">
        <v>199207</v>
      </c>
      <c r="B548" s="6">
        <f t="shared" si="16"/>
        <v>3.7013575336105102E-2</v>
      </c>
      <c r="C548" s="4">
        <f t="shared" si="17"/>
        <v>3.7824000000000003E-2</v>
      </c>
      <c r="D548" s="5">
        <v>2.9101152730958722E-2</v>
      </c>
      <c r="E548" s="5">
        <v>3.0246974077522418E-2</v>
      </c>
      <c r="F548" s="7">
        <v>4.0970274156667687E-2</v>
      </c>
      <c r="G548" s="7">
        <v>0.71029919447640966</v>
      </c>
      <c r="H548" s="7">
        <v>8.974630008779733E-4</v>
      </c>
      <c r="I548" s="7">
        <v>0.3833486996935862</v>
      </c>
      <c r="J548" s="7">
        <v>4.1494792071835353E-2</v>
      </c>
      <c r="K548" s="8">
        <v>3.2099999999999997E-2</v>
      </c>
      <c r="L548" s="8">
        <v>7.2599999999999998E-2</v>
      </c>
      <c r="M548" s="8">
        <v>3.9800000000000002E-2</v>
      </c>
      <c r="N548" s="7">
        <v>4.0500000000000001E-2</v>
      </c>
      <c r="O548" s="7">
        <v>7.6999999999999846E-3</v>
      </c>
      <c r="P548" s="7">
        <v>-9.0000000000000011E-3</v>
      </c>
      <c r="Q548" s="7">
        <v>2.1398002853068032E-3</v>
      </c>
      <c r="R548" s="7">
        <v>4.0924000000000002E-2</v>
      </c>
      <c r="S548" s="7">
        <v>3.0999999999999999E-3</v>
      </c>
    </row>
    <row r="549" spans="1:19" x14ac:dyDescent="0.3">
      <c r="A549" s="3">
        <v>199208</v>
      </c>
      <c r="B549" s="6">
        <f t="shared" si="16"/>
        <v>-2.3427081177754751E-2</v>
      </c>
      <c r="C549" s="4">
        <f t="shared" si="17"/>
        <v>-2.3215E-2</v>
      </c>
      <c r="D549" s="5">
        <v>2.9877062048643821E-2</v>
      </c>
      <c r="E549" s="5">
        <v>2.9160085806558076E-2</v>
      </c>
      <c r="F549" s="7">
        <v>4.2774678163418116E-2</v>
      </c>
      <c r="G549" s="7">
        <v>0.69847543760587238</v>
      </c>
      <c r="H549" s="7">
        <v>3.6954737609879481E-4</v>
      </c>
      <c r="I549" s="7">
        <v>0.39940503692424356</v>
      </c>
      <c r="J549" s="7">
        <v>4.3049957586580249E-2</v>
      </c>
      <c r="K549" s="8">
        <v>3.1300000000000001E-2</v>
      </c>
      <c r="L549" s="8">
        <v>7.2499999999999995E-2</v>
      </c>
      <c r="M549" s="8">
        <v>6.7000000000000002E-3</v>
      </c>
      <c r="N549" s="7">
        <v>4.1199999999999994E-2</v>
      </c>
      <c r="O549" s="7">
        <v>7.0000000000000062E-3</v>
      </c>
      <c r="P549" s="7">
        <v>2.2999999999999991E-3</v>
      </c>
      <c r="Q549" s="7">
        <v>2.846975088967918E-3</v>
      </c>
      <c r="R549" s="7">
        <v>-2.0615000000000001E-2</v>
      </c>
      <c r="S549" s="7">
        <v>2.5999999999999999E-3</v>
      </c>
    </row>
    <row r="550" spans="1:19" x14ac:dyDescent="0.3">
      <c r="A550" s="3">
        <v>199209</v>
      </c>
      <c r="B550" s="6">
        <f t="shared" si="16"/>
        <v>8.6795583470494191E-3</v>
      </c>
      <c r="C550" s="4">
        <f t="shared" si="17"/>
        <v>8.7399999999999995E-3</v>
      </c>
      <c r="D550" s="5">
        <v>2.9667304930588796E-2</v>
      </c>
      <c r="E550" s="5">
        <v>2.9937444146559428E-2</v>
      </c>
      <c r="F550" s="7">
        <v>4.3178554332216366E-2</v>
      </c>
      <c r="G550" s="7">
        <v>0.68708425720620847</v>
      </c>
      <c r="H550" s="7">
        <v>8.7224120429514802E-4</v>
      </c>
      <c r="I550" s="7">
        <v>0.39765697210960538</v>
      </c>
      <c r="J550" s="7">
        <v>4.1137783393509243E-2</v>
      </c>
      <c r="K550" s="8">
        <v>2.9100000000000001E-2</v>
      </c>
      <c r="L550" s="8">
        <v>7.0999999999999994E-2</v>
      </c>
      <c r="M550" s="8">
        <v>1.8499999999999999E-2</v>
      </c>
      <c r="N550" s="7">
        <v>4.1899999999999993E-2</v>
      </c>
      <c r="O550" s="7">
        <v>7.0000000000000062E-3</v>
      </c>
      <c r="P550" s="7">
        <v>-8.5999999999999983E-3</v>
      </c>
      <c r="Q550" s="7">
        <v>2.8388928317957252E-3</v>
      </c>
      <c r="R550" s="7">
        <v>1.1339999999999999E-2</v>
      </c>
      <c r="S550" s="7">
        <v>2.5999999999999999E-3</v>
      </c>
    </row>
    <row r="551" spans="1:19" x14ac:dyDescent="0.3">
      <c r="A551" s="3">
        <v>199210</v>
      </c>
      <c r="B551" s="6">
        <f t="shared" si="16"/>
        <v>2.4871767834702264E-3</v>
      </c>
      <c r="C551" s="4">
        <f t="shared" si="17"/>
        <v>2.496E-3</v>
      </c>
      <c r="D551" s="5">
        <v>2.9596987357090539E-2</v>
      </c>
      <c r="E551" s="5">
        <v>2.9659326631562153E-2</v>
      </c>
      <c r="F551" s="7">
        <v>4.3923760389796507E-2</v>
      </c>
      <c r="G551" s="7">
        <v>0.673826354903027</v>
      </c>
      <c r="H551" s="7">
        <v>9.4414479752344199E-4</v>
      </c>
      <c r="I551" s="7">
        <v>0.40325117775070152</v>
      </c>
      <c r="J551" s="7">
        <v>4.1096097473479899E-2</v>
      </c>
      <c r="K551" s="8">
        <v>2.86E-2</v>
      </c>
      <c r="L551" s="8">
        <v>7.4099999999999999E-2</v>
      </c>
      <c r="M551" s="8">
        <v>-1.9800000000000002E-2</v>
      </c>
      <c r="N551" s="7">
        <v>4.5499999999999999E-2</v>
      </c>
      <c r="O551" s="7">
        <v>8.4999999999999937E-3</v>
      </c>
      <c r="P551" s="7">
        <v>4.2000000000000023E-3</v>
      </c>
      <c r="Q551" s="7">
        <v>3.5385704175512345E-3</v>
      </c>
      <c r="R551" s="7">
        <v>4.7959999999999999E-3</v>
      </c>
      <c r="S551" s="7">
        <v>2.3E-3</v>
      </c>
    </row>
    <row r="552" spans="1:19" x14ac:dyDescent="0.3">
      <c r="A552" s="3">
        <v>199211</v>
      </c>
      <c r="B552" s="6">
        <f t="shared" si="16"/>
        <v>3.093817088374809E-2</v>
      </c>
      <c r="C552" s="4">
        <f t="shared" si="17"/>
        <v>3.1493999999999994E-2</v>
      </c>
      <c r="D552" s="5">
        <v>2.8719910358950586E-2</v>
      </c>
      <c r="E552" s="5">
        <v>2.958902582720296E-2</v>
      </c>
      <c r="F552" s="7">
        <v>4.3444998261272752E-2</v>
      </c>
      <c r="G552" s="7">
        <v>0.66106367840626112</v>
      </c>
      <c r="H552" s="7">
        <v>5.0809472187237357E-4</v>
      </c>
      <c r="I552" s="7">
        <v>0.39362645847528288</v>
      </c>
      <c r="J552" s="7">
        <v>3.7986651063150405E-2</v>
      </c>
      <c r="K552" s="8">
        <v>3.1300000000000001E-2</v>
      </c>
      <c r="L552" s="8">
        <v>7.4800000000000005E-2</v>
      </c>
      <c r="M552" s="8">
        <v>1E-3</v>
      </c>
      <c r="N552" s="7">
        <v>4.3500000000000004E-2</v>
      </c>
      <c r="O552" s="7">
        <v>8.6000000000000104E-3</v>
      </c>
      <c r="P552" s="7">
        <v>5.8999999999999999E-3</v>
      </c>
      <c r="Q552" s="7">
        <v>1.4104372355430161E-3</v>
      </c>
      <c r="R552" s="7">
        <v>3.3793999999999998E-2</v>
      </c>
      <c r="S552" s="7">
        <v>2.3E-3</v>
      </c>
    </row>
    <row r="553" spans="1:19" x14ac:dyDescent="0.3">
      <c r="A553" s="3">
        <v>199212</v>
      </c>
      <c r="B553" s="6">
        <f t="shared" si="16"/>
        <v>1.0495191019208462E-2</v>
      </c>
      <c r="C553" s="4">
        <f t="shared" si="17"/>
        <v>1.0579999999999999E-2</v>
      </c>
      <c r="D553" s="5">
        <v>2.8424869752817244E-2</v>
      </c>
      <c r="E553" s="5">
        <v>2.8712182682276575E-2</v>
      </c>
      <c r="F553" s="7">
        <v>4.3813545707006962E-2</v>
      </c>
      <c r="G553" s="7">
        <v>0.6487689889994761</v>
      </c>
      <c r="H553" s="7">
        <v>4.7155226865094473E-4</v>
      </c>
      <c r="I553" s="7">
        <v>0.39410961419895257</v>
      </c>
      <c r="J553" s="7">
        <v>3.8828686280852752E-2</v>
      </c>
      <c r="K553" s="8">
        <v>3.2199999999999999E-2</v>
      </c>
      <c r="L553" s="8">
        <v>7.2599999999999998E-2</v>
      </c>
      <c r="M553" s="8">
        <v>2.46E-2</v>
      </c>
      <c r="N553" s="7">
        <v>4.0399999999999998E-2</v>
      </c>
      <c r="O553" s="7">
        <v>8.3000000000000018E-3</v>
      </c>
      <c r="P553" s="7">
        <v>-1.7999999999999995E-3</v>
      </c>
      <c r="Q553" s="7">
        <v>-7.0422535211267512E-4</v>
      </c>
      <c r="R553" s="7">
        <v>1.338E-2</v>
      </c>
      <c r="S553" s="7">
        <v>2.8000000000000004E-3</v>
      </c>
    </row>
    <row r="554" spans="1:19" x14ac:dyDescent="0.3">
      <c r="A554" s="3">
        <v>199301</v>
      </c>
      <c r="B554" s="6">
        <f t="shared" si="16"/>
        <v>4.9582552058841465E-3</v>
      </c>
      <c r="C554" s="4">
        <f t="shared" si="17"/>
        <v>4.9820000000000003E-3</v>
      </c>
      <c r="D554" s="5">
        <v>2.8297400367686163E-2</v>
      </c>
      <c r="E554" s="5">
        <v>2.8496783028466949E-2</v>
      </c>
      <c r="F554" s="7">
        <v>4.4076758284333842E-2</v>
      </c>
      <c r="G554" s="7">
        <v>0.642002757669769</v>
      </c>
      <c r="H554" s="7">
        <v>3.4885075192561557E-4</v>
      </c>
      <c r="I554" s="7">
        <v>0.39304810446083399</v>
      </c>
      <c r="J554" s="7">
        <v>4.1753840541857885E-2</v>
      </c>
      <c r="K554" s="8">
        <v>0.03</v>
      </c>
      <c r="L554" s="8">
        <v>7.2499999999999995E-2</v>
      </c>
      <c r="M554" s="8">
        <v>2.8000000000000001E-2</v>
      </c>
      <c r="N554" s="7">
        <v>4.2499999999999996E-2</v>
      </c>
      <c r="O554" s="7">
        <v>7.5999999999999956E-3</v>
      </c>
      <c r="P554" s="7">
        <v>-2.9999999999999992E-3</v>
      </c>
      <c r="Q554" s="7">
        <v>4.9330514446792595E-3</v>
      </c>
      <c r="R554" s="7">
        <v>7.2820000000000003E-3</v>
      </c>
      <c r="S554" s="7">
        <v>2.3E-3</v>
      </c>
    </row>
    <row r="555" spans="1:19" x14ac:dyDescent="0.3">
      <c r="A555" s="3">
        <v>199302</v>
      </c>
      <c r="B555" s="6">
        <f t="shared" si="16"/>
        <v>1.1237756712762836E-2</v>
      </c>
      <c r="C555" s="4">
        <f t="shared" si="17"/>
        <v>1.1325999999999999E-2</v>
      </c>
      <c r="D555" s="5">
        <v>2.8074488399717323E-2</v>
      </c>
      <c r="E555" s="5">
        <v>2.8368810489691115E-2</v>
      </c>
      <c r="F555" s="7">
        <v>4.4183319049122649E-2</v>
      </c>
      <c r="G555" s="7">
        <v>0.63540922239237707</v>
      </c>
      <c r="H555" s="7">
        <v>1.146896483029807E-3</v>
      </c>
      <c r="I555" s="7">
        <v>0.3859601968908335</v>
      </c>
      <c r="J555" s="7">
        <v>4.0728168686458836E-2</v>
      </c>
      <c r="K555" s="8">
        <v>2.9300000000000003E-2</v>
      </c>
      <c r="L555" s="8">
        <v>6.9800000000000001E-2</v>
      </c>
      <c r="M555" s="8">
        <v>3.5400000000000001E-2</v>
      </c>
      <c r="N555" s="7">
        <v>4.0499999999999994E-2</v>
      </c>
      <c r="O555" s="7">
        <v>6.8000000000000005E-3</v>
      </c>
      <c r="P555" s="7">
        <v>-9.7999999999999997E-3</v>
      </c>
      <c r="Q555" s="7">
        <v>3.5063113604487661E-3</v>
      </c>
      <c r="R555" s="7">
        <v>1.3526E-2</v>
      </c>
      <c r="S555" s="7">
        <v>2.2000000000000001E-3</v>
      </c>
    </row>
    <row r="556" spans="1:19" x14ac:dyDescent="0.3">
      <c r="A556" s="3">
        <v>199303</v>
      </c>
      <c r="B556" s="6">
        <f t="shared" si="16"/>
        <v>1.8483484664906038E-2</v>
      </c>
      <c r="C556" s="4">
        <f t="shared" si="17"/>
        <v>1.8702E-2</v>
      </c>
      <c r="D556" s="5">
        <v>2.7628578386875369E-2</v>
      </c>
      <c r="E556" s="5">
        <v>2.8145157652577923E-2</v>
      </c>
      <c r="F556" s="7">
        <v>4.3925875085792723E-2</v>
      </c>
      <c r="G556" s="7">
        <v>0.62898185483870961</v>
      </c>
      <c r="H556" s="7">
        <v>1.0047249550798963E-3</v>
      </c>
      <c r="I556" s="7">
        <v>0.33361352638732605</v>
      </c>
      <c r="J556" s="7">
        <v>3.7106416302167856E-2</v>
      </c>
      <c r="K556" s="8">
        <v>2.9500000000000002E-2</v>
      </c>
      <c r="L556" s="8">
        <v>7.0199999999999999E-2</v>
      </c>
      <c r="M556" s="8">
        <v>2.0999999999999999E-3</v>
      </c>
      <c r="N556" s="7">
        <v>4.07E-2</v>
      </c>
      <c r="O556" s="7">
        <v>5.6999999999999967E-3</v>
      </c>
      <c r="P556" s="7">
        <v>4.0000000000000018E-4</v>
      </c>
      <c r="Q556" s="7">
        <v>3.4940600978337066E-3</v>
      </c>
      <c r="R556" s="7">
        <v>2.1201999999999999E-2</v>
      </c>
      <c r="S556" s="7">
        <v>2.5000000000000001E-3</v>
      </c>
    </row>
    <row r="557" spans="1:19" x14ac:dyDescent="0.3">
      <c r="A557" s="3">
        <v>199304</v>
      </c>
      <c r="B557" s="6">
        <f t="shared" si="16"/>
        <v>-2.7221720899559515E-2</v>
      </c>
      <c r="C557" s="4">
        <f t="shared" si="17"/>
        <v>-2.6918999999999998E-2</v>
      </c>
      <c r="D557" s="5">
        <v>2.8382440915665205E-2</v>
      </c>
      <c r="E557" s="5">
        <v>2.7661050471952234E-2</v>
      </c>
      <c r="F557" s="7">
        <v>4.468524955133011E-2</v>
      </c>
      <c r="G557" s="7">
        <v>0.63516353160481265</v>
      </c>
      <c r="H557" s="7">
        <v>1.0047850118473196E-3</v>
      </c>
      <c r="I557" s="7">
        <v>0.33434980595256286</v>
      </c>
      <c r="J557" s="7">
        <v>3.9812685045360931E-2</v>
      </c>
      <c r="K557" s="8">
        <v>2.87E-2</v>
      </c>
      <c r="L557" s="8">
        <v>7.0099999999999996E-2</v>
      </c>
      <c r="M557" s="8">
        <v>7.1999999999999998E-3</v>
      </c>
      <c r="N557" s="7">
        <v>4.1399999999999992E-2</v>
      </c>
      <c r="O557" s="7">
        <v>6.8000000000000005E-3</v>
      </c>
      <c r="P557" s="7">
        <v>-2E-3</v>
      </c>
      <c r="Q557" s="7">
        <v>2.7855153203342198E-3</v>
      </c>
      <c r="R557" s="7">
        <v>-2.4518999999999999E-2</v>
      </c>
      <c r="S557" s="7">
        <v>2.3999999999999998E-3</v>
      </c>
    </row>
    <row r="558" spans="1:19" x14ac:dyDescent="0.3">
      <c r="A558" s="3">
        <v>199305</v>
      </c>
      <c r="B558" s="6">
        <f t="shared" si="16"/>
        <v>2.3722567995494791E-2</v>
      </c>
      <c r="C558" s="4">
        <f t="shared" si="17"/>
        <v>2.4059000000000001E-2</v>
      </c>
      <c r="D558" s="5">
        <v>2.7784565035503528E-2</v>
      </c>
      <c r="E558" s="5">
        <v>2.8415759861272025E-2</v>
      </c>
      <c r="F558" s="7">
        <v>4.3315044758879581E-2</v>
      </c>
      <c r="G558" s="7">
        <v>0.64145299145299139</v>
      </c>
      <c r="H558" s="7">
        <v>8.1730817649456645E-4</v>
      </c>
      <c r="I558" s="7">
        <v>0.32488242147966084</v>
      </c>
      <c r="J558" s="7">
        <v>4.0254627586955971E-2</v>
      </c>
      <c r="K558" s="8">
        <v>2.9600000000000001E-2</v>
      </c>
      <c r="L558" s="8">
        <v>7.0099999999999996E-2</v>
      </c>
      <c r="M558" s="8">
        <v>4.7000000000000002E-3</v>
      </c>
      <c r="N558" s="7">
        <v>4.0499999999999994E-2</v>
      </c>
      <c r="O558" s="7">
        <v>7.8000000000000153E-3</v>
      </c>
      <c r="P558" s="7">
        <v>-2.7000000000000001E-3</v>
      </c>
      <c r="Q558" s="7">
        <v>1.388888888888884E-3</v>
      </c>
      <c r="R558" s="7">
        <v>2.6259000000000001E-2</v>
      </c>
      <c r="S558" s="7">
        <v>2.2000000000000001E-3</v>
      </c>
    </row>
    <row r="559" spans="1:19" x14ac:dyDescent="0.3">
      <c r="A559" s="3">
        <v>199306</v>
      </c>
      <c r="B559" s="6">
        <f t="shared" si="16"/>
        <v>9.6312706663316105E-4</v>
      </c>
      <c r="C559" s="4">
        <f t="shared" si="17"/>
        <v>9.6599999999999984E-4</v>
      </c>
      <c r="D559" s="5">
        <v>2.7796151199698135E-2</v>
      </c>
      <c r="E559" s="5">
        <v>2.781714387258713E-2</v>
      </c>
      <c r="F559" s="7">
        <v>4.2905022972942984E-2</v>
      </c>
      <c r="G559" s="7">
        <v>0.64785307811691661</v>
      </c>
      <c r="H559" s="7">
        <v>5.7385135426062366E-4</v>
      </c>
      <c r="I559" s="7">
        <v>0.32593124756094427</v>
      </c>
      <c r="J559" s="7">
        <v>4.1154022202147478E-2</v>
      </c>
      <c r="K559" s="8">
        <v>3.0699999999999998E-2</v>
      </c>
      <c r="L559" s="8">
        <v>6.6799999999999998E-2</v>
      </c>
      <c r="M559" s="8">
        <v>4.4900000000000002E-2</v>
      </c>
      <c r="N559" s="7">
        <v>3.61E-2</v>
      </c>
      <c r="O559" s="7">
        <v>7.4000000000000038E-3</v>
      </c>
      <c r="P559" s="7">
        <v>-1.5600000000000003E-2</v>
      </c>
      <c r="Q559" s="7">
        <v>1.3869625520113171E-3</v>
      </c>
      <c r="R559" s="7">
        <v>3.4659999999999999E-3</v>
      </c>
      <c r="S559" s="7">
        <v>2.5000000000000001E-3</v>
      </c>
    </row>
    <row r="560" spans="1:19" x14ac:dyDescent="0.3">
      <c r="A560" s="3">
        <v>199307</v>
      </c>
      <c r="B560" s="6">
        <f t="shared" si="16"/>
        <v>-7.0007048333270028E-3</v>
      </c>
      <c r="C560" s="4">
        <f t="shared" si="17"/>
        <v>-6.9929999999999992E-3</v>
      </c>
      <c r="D560" s="5">
        <v>2.7942040628091545E-2</v>
      </c>
      <c r="E560" s="5">
        <v>2.7793191722341831E-2</v>
      </c>
      <c r="F560" s="7">
        <v>4.3938142949590524E-2</v>
      </c>
      <c r="G560" s="7">
        <v>0.63594040968342636</v>
      </c>
      <c r="H560" s="7">
        <v>6.0896245271477366E-4</v>
      </c>
      <c r="I560" s="7">
        <v>0.32377703081889381</v>
      </c>
      <c r="J560" s="7">
        <v>4.100778771207813E-2</v>
      </c>
      <c r="K560" s="8">
        <v>3.04E-2</v>
      </c>
      <c r="L560" s="8">
        <v>6.5600000000000006E-2</v>
      </c>
      <c r="M560" s="8">
        <v>1.9099999999999999E-2</v>
      </c>
      <c r="N560" s="7">
        <v>3.5200000000000009E-2</v>
      </c>
      <c r="O560" s="7">
        <v>7.5999999999999956E-3</v>
      </c>
      <c r="P560" s="7">
        <v>-9.0999999999999987E-3</v>
      </c>
      <c r="Q560" s="7">
        <v>0</v>
      </c>
      <c r="R560" s="7">
        <v>-4.5929999999999999E-3</v>
      </c>
      <c r="S560" s="7">
        <v>2.3999999999999998E-3</v>
      </c>
    </row>
    <row r="561" spans="1:19" x14ac:dyDescent="0.3">
      <c r="A561" s="3">
        <v>199308</v>
      </c>
      <c r="B561" s="6">
        <f t="shared" si="16"/>
        <v>3.4250584688409094E-2</v>
      </c>
      <c r="C561" s="4">
        <f t="shared" si="17"/>
        <v>3.4930999999999997E-2</v>
      </c>
      <c r="D561" s="5">
        <v>2.7009089078724072E-2</v>
      </c>
      <c r="E561" s="5">
        <v>2.7939065300991522E-2</v>
      </c>
      <c r="F561" s="7">
        <v>4.3252221934593153E-2</v>
      </c>
      <c r="G561" s="7">
        <v>0.62445552784704894</v>
      </c>
      <c r="H561" s="7">
        <v>2.8156880698955715E-4</v>
      </c>
      <c r="I561" s="7">
        <v>0.31386498333839247</v>
      </c>
      <c r="J561" s="7">
        <v>4.0192936172191933E-2</v>
      </c>
      <c r="K561" s="8">
        <v>3.0200000000000001E-2</v>
      </c>
      <c r="L561" s="8">
        <v>6.2300000000000001E-2</v>
      </c>
      <c r="M561" s="8">
        <v>4.3400000000000001E-2</v>
      </c>
      <c r="N561" s="7">
        <v>3.2100000000000004E-2</v>
      </c>
      <c r="O561" s="7">
        <v>7.5000000000000067E-3</v>
      </c>
      <c r="P561" s="7">
        <v>-1.4700000000000001E-2</v>
      </c>
      <c r="Q561" s="7">
        <v>2.7700831024930483E-3</v>
      </c>
      <c r="R561" s="7">
        <v>3.7430999999999999E-2</v>
      </c>
      <c r="S561" s="7">
        <v>2.5000000000000001E-3</v>
      </c>
    </row>
    <row r="562" spans="1:19" x14ac:dyDescent="0.3">
      <c r="A562" s="3">
        <v>199309</v>
      </c>
      <c r="B562" s="6">
        <f t="shared" si="16"/>
        <v>-1.0207515328603693E-2</v>
      </c>
      <c r="C562" s="4">
        <f t="shared" si="17"/>
        <v>-1.0182E-2</v>
      </c>
      <c r="D562" s="5">
        <v>2.7278669949665522E-2</v>
      </c>
      <c r="E562" s="5">
        <v>2.7006212787988607E-2</v>
      </c>
      <c r="F562" s="7">
        <v>4.4473013313577232E-2</v>
      </c>
      <c r="G562" s="7">
        <v>0.61337579617834381</v>
      </c>
      <c r="H562" s="7">
        <v>4.7067476506069771E-4</v>
      </c>
      <c r="I562" s="7">
        <v>0.32235182146238445</v>
      </c>
      <c r="J562" s="7">
        <v>4.1840711897810884E-2</v>
      </c>
      <c r="K562" s="8">
        <v>2.9500000000000002E-2</v>
      </c>
      <c r="L562" s="8">
        <v>6.2700000000000006E-2</v>
      </c>
      <c r="M562" s="8">
        <v>5.0000000000000001E-4</v>
      </c>
      <c r="N562" s="7">
        <v>3.3200000000000007E-2</v>
      </c>
      <c r="O562" s="7">
        <v>6.7999999999999866E-3</v>
      </c>
      <c r="P562" s="7">
        <v>3.8E-3</v>
      </c>
      <c r="Q562" s="7">
        <v>2.071823204419676E-3</v>
      </c>
      <c r="R562" s="7">
        <v>-7.5820000000000002E-3</v>
      </c>
      <c r="S562" s="7">
        <v>2.5999999999999999E-3</v>
      </c>
    </row>
    <row r="563" spans="1:19" x14ac:dyDescent="0.3">
      <c r="A563" s="3">
        <v>199310</v>
      </c>
      <c r="B563" s="6">
        <f t="shared" si="16"/>
        <v>1.7491311795262553E-2</v>
      </c>
      <c r="C563" s="4">
        <f t="shared" si="17"/>
        <v>1.7683999999999998E-2</v>
      </c>
      <c r="D563" s="5">
        <v>2.6801045963989762E-2</v>
      </c>
      <c r="E563" s="5">
        <v>2.7320796926183361E-2</v>
      </c>
      <c r="F563" s="7">
        <v>4.4681472614696231E-2</v>
      </c>
      <c r="G563" s="7">
        <v>0.59982458937968408</v>
      </c>
      <c r="H563" s="7">
        <v>3.1422708380859839E-4</v>
      </c>
      <c r="I563" s="7">
        <v>0.3113628329216831</v>
      </c>
      <c r="J563" s="7">
        <v>4.0367136692974155E-2</v>
      </c>
      <c r="K563" s="8">
        <v>3.0200000000000001E-2</v>
      </c>
      <c r="L563" s="8">
        <v>6.2300000000000001E-2</v>
      </c>
      <c r="M563" s="8">
        <v>9.5999999999999992E-3</v>
      </c>
      <c r="N563" s="7">
        <v>3.2100000000000004E-2</v>
      </c>
      <c r="O563" s="7">
        <v>6.4000000000000029E-3</v>
      </c>
      <c r="P563" s="7">
        <v>-4.4999999999999988E-3</v>
      </c>
      <c r="Q563" s="7">
        <v>4.1350792556857918E-3</v>
      </c>
      <c r="R563" s="7">
        <v>1.9883999999999999E-2</v>
      </c>
      <c r="S563" s="7">
        <v>2.2000000000000001E-3</v>
      </c>
    </row>
    <row r="564" spans="1:19" x14ac:dyDescent="0.3">
      <c r="A564" s="3">
        <v>199311</v>
      </c>
      <c r="B564" s="6">
        <f t="shared" si="16"/>
        <v>-1.1189552236248592E-2</v>
      </c>
      <c r="C564" s="4">
        <f t="shared" si="17"/>
        <v>-1.1155E-2</v>
      </c>
      <c r="D564" s="5">
        <v>2.7193457343525552E-2</v>
      </c>
      <c r="E564" s="5">
        <v>2.6842371516719036E-2</v>
      </c>
      <c r="F564" s="7">
        <v>4.6334192309635695E-2</v>
      </c>
      <c r="G564" s="7">
        <v>0.58689827075868506</v>
      </c>
      <c r="H564" s="7">
        <v>5.7635166675755565E-4</v>
      </c>
      <c r="I564" s="7">
        <v>0.31107941081016693</v>
      </c>
      <c r="J564" s="7">
        <v>4.3837560264828997E-2</v>
      </c>
      <c r="K564" s="8">
        <v>3.1E-2</v>
      </c>
      <c r="L564" s="8">
        <v>6.5100000000000005E-2</v>
      </c>
      <c r="M564" s="8">
        <v>-2.5899999999999999E-2</v>
      </c>
      <c r="N564" s="7">
        <v>3.4100000000000005E-2</v>
      </c>
      <c r="O564" s="7">
        <v>7.3000000000000009E-3</v>
      </c>
      <c r="P564" s="7">
        <v>7.0999999999999987E-3</v>
      </c>
      <c r="Q564" s="7">
        <v>6.8634179821569496E-4</v>
      </c>
      <c r="R564" s="7">
        <v>-8.6549999999999995E-3</v>
      </c>
      <c r="S564" s="7">
        <v>2.5000000000000001E-3</v>
      </c>
    </row>
    <row r="565" spans="1:19" x14ac:dyDescent="0.3">
      <c r="A565" s="3">
        <v>199312</v>
      </c>
      <c r="B565" s="6">
        <f t="shared" si="16"/>
        <v>1.0269348085273196E-2</v>
      </c>
      <c r="C565" s="4">
        <f t="shared" si="17"/>
        <v>1.0345999999999999E-2</v>
      </c>
      <c r="D565" s="5">
        <v>2.6963232929574442E-2</v>
      </c>
      <c r="E565" s="5">
        <v>2.7235323415405265E-2</v>
      </c>
      <c r="F565" s="7">
        <v>4.6928931289527284E-2</v>
      </c>
      <c r="G565" s="7">
        <v>0.57455459113750562</v>
      </c>
      <c r="H565" s="7">
        <v>2.6968209775830155E-4</v>
      </c>
      <c r="I565" s="7">
        <v>0.30526722290900837</v>
      </c>
      <c r="J565" s="7">
        <v>4.5726871339500465E-2</v>
      </c>
      <c r="K565" s="8">
        <v>3.0600000000000002E-2</v>
      </c>
      <c r="L565" s="8">
        <v>6.54E-2</v>
      </c>
      <c r="M565" s="8">
        <v>2E-3</v>
      </c>
      <c r="N565" s="7">
        <v>3.4799999999999998E-2</v>
      </c>
      <c r="O565" s="7">
        <v>7.6000000000000095E-3</v>
      </c>
      <c r="P565" s="7">
        <v>4.7000000000000002E-3</v>
      </c>
      <c r="Q565" s="7">
        <v>0</v>
      </c>
      <c r="R565" s="7">
        <v>1.2645999999999999E-2</v>
      </c>
      <c r="S565" s="7">
        <v>2.3E-3</v>
      </c>
    </row>
    <row r="566" spans="1:19" x14ac:dyDescent="0.3">
      <c r="A566" s="3">
        <v>199401</v>
      </c>
      <c r="B566" s="6">
        <f t="shared" si="16"/>
        <v>3.0385518984241508E-2</v>
      </c>
      <c r="C566" s="4">
        <f t="shared" si="17"/>
        <v>3.0929000000000002E-2</v>
      </c>
      <c r="D566" s="5">
        <v>2.6204466961511037E-2</v>
      </c>
      <c r="E566" s="5">
        <v>2.7056133204702178E-2</v>
      </c>
      <c r="F566" s="7">
        <v>4.6019254860433408E-2</v>
      </c>
      <c r="G566" s="7">
        <v>0.56942397352985397</v>
      </c>
      <c r="H566" s="7">
        <v>4.2348832756514826E-4</v>
      </c>
      <c r="I566" s="7">
        <v>0.28805856716297956</v>
      </c>
      <c r="J566" s="7">
        <v>4.3671136171339726E-2</v>
      </c>
      <c r="K566" s="8">
        <v>2.98E-2</v>
      </c>
      <c r="L566" s="8">
        <v>6.3700000000000007E-2</v>
      </c>
      <c r="M566" s="8">
        <v>2.5700000000000001E-2</v>
      </c>
      <c r="N566" s="7">
        <v>3.3900000000000007E-2</v>
      </c>
      <c r="O566" s="7">
        <v>7.3000000000000009E-3</v>
      </c>
      <c r="P566" s="7">
        <v>-5.5000000000000014E-3</v>
      </c>
      <c r="Q566" s="7">
        <v>2.7434842249656199E-3</v>
      </c>
      <c r="R566" s="7">
        <v>3.3429E-2</v>
      </c>
      <c r="S566" s="7">
        <v>2.5000000000000001E-3</v>
      </c>
    </row>
    <row r="567" spans="1:19" x14ac:dyDescent="0.3">
      <c r="A567" s="3">
        <v>199402</v>
      </c>
      <c r="B567" s="6">
        <f t="shared" si="16"/>
        <v>-2.9634476195455322E-2</v>
      </c>
      <c r="C567" s="4">
        <f t="shared" si="17"/>
        <v>-2.9261000000000002E-2</v>
      </c>
      <c r="D567" s="5">
        <v>2.7108932368597561E-2</v>
      </c>
      <c r="E567" s="5">
        <v>2.6294442944844718E-2</v>
      </c>
      <c r="F567" s="7">
        <v>4.8029855432347196E-2</v>
      </c>
      <c r="G567" s="7">
        <v>0.5644183627989896</v>
      </c>
      <c r="H567" s="7">
        <v>1.0260764611396097E-3</v>
      </c>
      <c r="I567" s="7">
        <v>0.29905882086800012</v>
      </c>
      <c r="J567" s="7">
        <v>4.5041131823383082E-2</v>
      </c>
      <c r="K567" s="8">
        <v>3.2500000000000001E-2</v>
      </c>
      <c r="L567" s="8">
        <v>6.8199999999999997E-2</v>
      </c>
      <c r="M567" s="8">
        <v>-4.4999999999999998E-2</v>
      </c>
      <c r="N567" s="7">
        <v>3.5699999999999996E-2</v>
      </c>
      <c r="O567" s="7">
        <v>6.8000000000000005E-3</v>
      </c>
      <c r="P567" s="7">
        <v>1.6399999999999998E-2</v>
      </c>
      <c r="Q567" s="7">
        <v>3.4199726402188713E-3</v>
      </c>
      <c r="R567" s="7">
        <v>-2.7161000000000001E-2</v>
      </c>
      <c r="S567" s="7">
        <v>2.0999999999999999E-3</v>
      </c>
    </row>
    <row r="568" spans="1:19" x14ac:dyDescent="0.3">
      <c r="A568" s="3">
        <v>199403</v>
      </c>
      <c r="B568" s="6">
        <f t="shared" si="16"/>
        <v>-4.7124851662109411E-2</v>
      </c>
      <c r="C568" s="4">
        <f t="shared" si="17"/>
        <v>-4.6156000000000003E-2</v>
      </c>
      <c r="D568" s="5">
        <v>2.850573165533795E-2</v>
      </c>
      <c r="E568" s="5">
        <v>2.7201695423213594E-2</v>
      </c>
      <c r="F568" s="7">
        <v>5.0945554882562763E-2</v>
      </c>
      <c r="G568" s="7">
        <v>0.55953324526640236</v>
      </c>
      <c r="H568" s="7">
        <v>8.9210253760055747E-4</v>
      </c>
      <c r="I568" s="7">
        <v>0.30748380506932604</v>
      </c>
      <c r="J568" s="7">
        <v>4.1905086485379127E-2</v>
      </c>
      <c r="K568" s="8">
        <v>3.5000000000000003E-2</v>
      </c>
      <c r="L568" s="8">
        <v>7.2499999999999995E-2</v>
      </c>
      <c r="M568" s="8">
        <v>-3.95E-2</v>
      </c>
      <c r="N568" s="7">
        <v>3.7499999999999992E-2</v>
      </c>
      <c r="O568" s="7">
        <v>6.5000000000000058E-3</v>
      </c>
      <c r="P568" s="7">
        <v>1.1999999999999997E-3</v>
      </c>
      <c r="Q568" s="7">
        <v>3.4083162917519783E-3</v>
      </c>
      <c r="R568" s="7">
        <v>-4.3456000000000002E-2</v>
      </c>
      <c r="S568" s="7">
        <v>2.7000000000000001E-3</v>
      </c>
    </row>
    <row r="569" spans="1:19" x14ac:dyDescent="0.3">
      <c r="A569" s="3">
        <v>199404</v>
      </c>
      <c r="B569" s="6">
        <f t="shared" si="16"/>
        <v>1.0039195869242167E-2</v>
      </c>
      <c r="C569" s="4">
        <f t="shared" si="17"/>
        <v>1.0117000000000001E-2</v>
      </c>
      <c r="D569" s="5">
        <v>2.8275413423225624E-2</v>
      </c>
      <c r="E569" s="5">
        <v>2.8601446186748026E-2</v>
      </c>
      <c r="F569" s="7">
        <v>5.2205539908185661E-2</v>
      </c>
      <c r="G569" s="7">
        <v>0.54161710563579724</v>
      </c>
      <c r="H569" s="7">
        <v>1.3736679541102197E-3</v>
      </c>
      <c r="I569" s="7">
        <v>0.30366478621342424</v>
      </c>
      <c r="J569" s="7">
        <v>3.9846646988596184E-2</v>
      </c>
      <c r="K569" s="8">
        <v>3.6799999999999999E-2</v>
      </c>
      <c r="L569" s="8">
        <v>7.4499999999999997E-2</v>
      </c>
      <c r="M569" s="8">
        <v>-1.4999999999999999E-2</v>
      </c>
      <c r="N569" s="7">
        <v>3.7699999999999997E-2</v>
      </c>
      <c r="O569" s="7">
        <v>6.4000000000000029E-3</v>
      </c>
      <c r="P569" s="7">
        <v>5.2999999999999992E-3</v>
      </c>
      <c r="Q569" s="7">
        <v>1.3586956521740579E-3</v>
      </c>
      <c r="R569" s="7">
        <v>1.2817E-2</v>
      </c>
      <c r="S569" s="7">
        <v>2.7000000000000001E-3</v>
      </c>
    </row>
    <row r="570" spans="1:19" x14ac:dyDescent="0.3">
      <c r="A570" s="3">
        <v>199405</v>
      </c>
      <c r="B570" s="6">
        <f t="shared" si="16"/>
        <v>1.3082231867928437E-2</v>
      </c>
      <c r="C570" s="4">
        <f t="shared" si="17"/>
        <v>1.3209E-2</v>
      </c>
      <c r="D570" s="5">
        <v>2.8022022153585534E-2</v>
      </c>
      <c r="E570" s="5">
        <v>2.8370036888366482E-2</v>
      </c>
      <c r="F570" s="7">
        <v>5.3383277474754118E-2</v>
      </c>
      <c r="G570" s="7">
        <v>0.52492135138831886</v>
      </c>
      <c r="H570" s="7">
        <v>7.5050293712608128E-4</v>
      </c>
      <c r="I570" s="7">
        <v>0.29746947570189658</v>
      </c>
      <c r="J570" s="7">
        <v>3.964204585079896E-2</v>
      </c>
      <c r="K570" s="8">
        <v>4.1399999999999999E-2</v>
      </c>
      <c r="L570" s="8">
        <v>7.5899999999999995E-2</v>
      </c>
      <c r="M570" s="8">
        <v>-8.2000000000000007E-3</v>
      </c>
      <c r="N570" s="7">
        <v>3.4499999999999996E-2</v>
      </c>
      <c r="O570" s="7">
        <v>6.3E-3</v>
      </c>
      <c r="P570" s="7">
        <v>2.0000000000000009E-3</v>
      </c>
      <c r="Q570" s="7">
        <v>6.7842605156043234E-4</v>
      </c>
      <c r="R570" s="7">
        <v>1.6309000000000001E-2</v>
      </c>
      <c r="S570" s="7">
        <v>3.0999999999999999E-3</v>
      </c>
    </row>
    <row r="571" spans="1:19" x14ac:dyDescent="0.3">
      <c r="A571" s="3">
        <v>199406</v>
      </c>
      <c r="B571" s="6">
        <f t="shared" si="16"/>
        <v>-2.81689401156732E-2</v>
      </c>
      <c r="C571" s="4">
        <f t="shared" si="17"/>
        <v>-2.7861999999999998E-2</v>
      </c>
      <c r="D571" s="5">
        <v>2.8890089360073829E-2</v>
      </c>
      <c r="E571" s="5">
        <v>2.8115484874372959E-2</v>
      </c>
      <c r="F571" s="7">
        <v>5.6722263488419203E-2</v>
      </c>
      <c r="G571" s="7">
        <v>0.50932539682539679</v>
      </c>
      <c r="H571" s="7">
        <v>7.9713270641582914E-4</v>
      </c>
      <c r="I571" s="7">
        <v>0.30841707670307816</v>
      </c>
      <c r="J571" s="7">
        <v>3.3996564291975749E-2</v>
      </c>
      <c r="K571" s="8">
        <v>4.1399999999999999E-2</v>
      </c>
      <c r="L571" s="8">
        <v>7.7399999999999997E-2</v>
      </c>
      <c r="M571" s="8">
        <v>-0.01</v>
      </c>
      <c r="N571" s="7">
        <v>3.5999999999999997E-2</v>
      </c>
      <c r="O571" s="7">
        <v>6.8000000000000144E-3</v>
      </c>
      <c r="P571" s="7">
        <v>1.9000000000000006E-3</v>
      </c>
      <c r="Q571" s="7">
        <v>3.3898305084745228E-3</v>
      </c>
      <c r="R571" s="7">
        <v>-2.4761999999999999E-2</v>
      </c>
      <c r="S571" s="7">
        <v>3.0999999999999999E-3</v>
      </c>
    </row>
    <row r="572" spans="1:19" x14ac:dyDescent="0.3">
      <c r="A572" s="3">
        <v>199407</v>
      </c>
      <c r="B572" s="6">
        <f t="shared" si="16"/>
        <v>2.9394200997368312E-2</v>
      </c>
      <c r="C572" s="4">
        <f t="shared" si="17"/>
        <v>2.9914E-2</v>
      </c>
      <c r="D572" s="5">
        <v>2.8072740498272415E-2</v>
      </c>
      <c r="E572" s="5">
        <v>2.8956115275245539E-2</v>
      </c>
      <c r="F572" s="7">
        <v>5.6541189307146765E-2</v>
      </c>
      <c r="G572" s="7">
        <v>0.49650070757751186</v>
      </c>
      <c r="H572" s="7">
        <v>3.272825063099082E-4</v>
      </c>
      <c r="I572" s="7">
        <v>0.29698538077296838</v>
      </c>
      <c r="J572" s="7">
        <v>3.1212187523353412E-2</v>
      </c>
      <c r="K572" s="8">
        <v>4.3299999999999998E-2</v>
      </c>
      <c r="L572" s="8">
        <v>7.46E-2</v>
      </c>
      <c r="M572" s="8">
        <v>3.6299999999999999E-2</v>
      </c>
      <c r="N572" s="7">
        <v>3.1300000000000001E-2</v>
      </c>
      <c r="O572" s="7">
        <v>6.9000000000000172E-3</v>
      </c>
      <c r="P572" s="7">
        <v>-5.3999999999999986E-3</v>
      </c>
      <c r="Q572" s="7">
        <v>2.7027027027026751E-3</v>
      </c>
      <c r="R572" s="7">
        <v>3.2714E-2</v>
      </c>
      <c r="S572" s="7">
        <v>2.8000000000000004E-3</v>
      </c>
    </row>
    <row r="573" spans="1:19" x14ac:dyDescent="0.3">
      <c r="A573" s="3">
        <v>199408</v>
      </c>
      <c r="B573" s="6">
        <f t="shared" si="16"/>
        <v>3.6816133800564199E-2</v>
      </c>
      <c r="C573" s="4">
        <f t="shared" si="17"/>
        <v>3.7641000000000001E-2</v>
      </c>
      <c r="D573" s="5">
        <v>2.7116018226428323E-2</v>
      </c>
      <c r="E573" s="5">
        <v>2.8136752136752138E-2</v>
      </c>
      <c r="F573" s="7">
        <v>5.598317560462672E-2</v>
      </c>
      <c r="G573" s="7">
        <v>0.48436013022789881</v>
      </c>
      <c r="H573" s="7">
        <v>5.6038760175525638E-4</v>
      </c>
      <c r="I573" s="7">
        <v>0.28568381932002279</v>
      </c>
      <c r="J573" s="7">
        <v>2.8707456923317092E-2</v>
      </c>
      <c r="K573" s="8">
        <v>4.4800000000000006E-2</v>
      </c>
      <c r="L573" s="8">
        <v>7.6100000000000001E-2</v>
      </c>
      <c r="M573" s="8">
        <v>-8.6E-3</v>
      </c>
      <c r="N573" s="7">
        <v>3.1299999999999994E-2</v>
      </c>
      <c r="O573" s="7">
        <v>6.6999999999999976E-3</v>
      </c>
      <c r="P573" s="7">
        <v>5.4999999999999997E-3</v>
      </c>
      <c r="Q573" s="7">
        <v>4.0431266846361336E-3</v>
      </c>
      <c r="R573" s="7">
        <v>4.1341000000000003E-2</v>
      </c>
      <c r="S573" s="7">
        <v>3.7000000000000002E-3</v>
      </c>
    </row>
    <row r="574" spans="1:19" x14ac:dyDescent="0.3">
      <c r="A574" s="3">
        <v>199409</v>
      </c>
      <c r="B574" s="6">
        <f t="shared" si="16"/>
        <v>-2.7924390886361634E-2</v>
      </c>
      <c r="C574" s="4">
        <f t="shared" si="17"/>
        <v>-2.7639999999999998E-2</v>
      </c>
      <c r="D574" s="5">
        <v>2.7928940373019819E-2</v>
      </c>
      <c r="E574" s="5">
        <v>2.717770767613039E-2</v>
      </c>
      <c r="F574" s="7">
        <v>5.9065073155972432E-2</v>
      </c>
      <c r="G574" s="7">
        <v>0.47285034760336625</v>
      </c>
      <c r="H574" s="7">
        <v>8.0189298809998206E-4</v>
      </c>
      <c r="I574" s="7">
        <v>0.29090465859885267</v>
      </c>
      <c r="J574" s="7">
        <v>2.9004251001063068E-2</v>
      </c>
      <c r="K574" s="8">
        <v>4.6199999999999998E-2</v>
      </c>
      <c r="L574" s="8">
        <v>0.08</v>
      </c>
      <c r="M574" s="8">
        <v>-3.3099999999999997E-2</v>
      </c>
      <c r="N574" s="7">
        <v>3.3800000000000004E-2</v>
      </c>
      <c r="O574" s="7">
        <v>6.4000000000000029E-3</v>
      </c>
      <c r="P574" s="7">
        <v>6.5999999999999982E-3</v>
      </c>
      <c r="Q574" s="7">
        <v>2.6845637583892135E-3</v>
      </c>
      <c r="R574" s="7">
        <v>-2.3939999999999999E-2</v>
      </c>
      <c r="S574" s="7">
        <v>3.7000000000000002E-3</v>
      </c>
    </row>
    <row r="575" spans="1:19" x14ac:dyDescent="0.3">
      <c r="A575" s="3">
        <v>199410</v>
      </c>
      <c r="B575" s="6">
        <f t="shared" si="16"/>
        <v>1.8577118982029801E-2</v>
      </c>
      <c r="C575" s="4">
        <f t="shared" si="17"/>
        <v>1.8821999999999998E-2</v>
      </c>
      <c r="D575" s="5">
        <v>2.7533255707279207E-2</v>
      </c>
      <c r="E575" s="5">
        <v>2.8106877597919508E-2</v>
      </c>
      <c r="F575" s="7">
        <v>6.0167248862072614E-2</v>
      </c>
      <c r="G575" s="7">
        <v>0.45761201032136994</v>
      </c>
      <c r="H575" s="7">
        <v>1.1584280263979326E-3</v>
      </c>
      <c r="I575" s="7">
        <v>0.28607127371314517</v>
      </c>
      <c r="J575" s="7">
        <v>2.6001443097619793E-2</v>
      </c>
      <c r="K575" s="8">
        <v>4.9500000000000002E-2</v>
      </c>
      <c r="L575" s="8">
        <v>8.09E-2</v>
      </c>
      <c r="M575" s="8">
        <v>-2.5000000000000001E-3</v>
      </c>
      <c r="N575" s="7">
        <v>3.1399999999999997E-2</v>
      </c>
      <c r="O575" s="7">
        <v>6.3E-3</v>
      </c>
      <c r="P575" s="7">
        <v>-2.5000000000000001E-3</v>
      </c>
      <c r="Q575" s="7">
        <v>6.6934404283802706E-4</v>
      </c>
      <c r="R575" s="7">
        <v>2.2622E-2</v>
      </c>
      <c r="S575" s="7">
        <v>3.8E-3</v>
      </c>
    </row>
    <row r="576" spans="1:19" x14ac:dyDescent="0.3">
      <c r="A576" s="3">
        <v>199411</v>
      </c>
      <c r="B576" s="6">
        <f t="shared" si="16"/>
        <v>-4.0614450717390803E-2</v>
      </c>
      <c r="C576" s="4">
        <f t="shared" si="17"/>
        <v>-3.9948000000000004E-2</v>
      </c>
      <c r="D576" s="5">
        <v>2.8847157016171101E-2</v>
      </c>
      <c r="E576" s="5">
        <v>2.7707561483363324E-2</v>
      </c>
      <c r="F576" s="7">
        <v>6.5044413586369559E-2</v>
      </c>
      <c r="G576" s="7">
        <v>0.44349937874166945</v>
      </c>
      <c r="H576" s="7">
        <v>8.3639914278712028E-4</v>
      </c>
      <c r="I576" s="7">
        <v>0.29899261426705909</v>
      </c>
      <c r="J576" s="7">
        <v>2.2919175145886622E-2</v>
      </c>
      <c r="K576" s="8">
        <v>5.2900000000000003E-2</v>
      </c>
      <c r="L576" s="8">
        <v>8.0799999999999997E-2</v>
      </c>
      <c r="M576" s="8">
        <v>6.6E-3</v>
      </c>
      <c r="N576" s="7">
        <v>2.7899999999999994E-2</v>
      </c>
      <c r="O576" s="7">
        <v>6.4000000000000029E-3</v>
      </c>
      <c r="P576" s="7">
        <v>-4.8000000000000004E-3</v>
      </c>
      <c r="Q576" s="7">
        <v>1.3377926421402897E-3</v>
      </c>
      <c r="R576" s="7">
        <v>-3.6248000000000002E-2</v>
      </c>
      <c r="S576" s="7">
        <v>3.7000000000000002E-3</v>
      </c>
    </row>
    <row r="577" spans="1:19" x14ac:dyDescent="0.3">
      <c r="A577" s="3">
        <v>199412</v>
      </c>
      <c r="B577" s="6">
        <f t="shared" si="16"/>
        <v>1.0453928234264324E-2</v>
      </c>
      <c r="C577" s="4">
        <f t="shared" si="17"/>
        <v>1.0554999999999998E-2</v>
      </c>
      <c r="D577" s="5">
        <v>2.8675942256189173E-2</v>
      </c>
      <c r="E577" s="5">
        <v>2.9028631885207965E-2</v>
      </c>
      <c r="F577" s="7">
        <v>6.6627474034881451E-2</v>
      </c>
      <c r="G577" s="7">
        <v>0.43039215686274512</v>
      </c>
      <c r="H577" s="7">
        <v>7.0492295430348679E-4</v>
      </c>
      <c r="I577" s="7">
        <v>0.29156830000676021</v>
      </c>
      <c r="J577" s="7">
        <v>1.6596291904089715E-2</v>
      </c>
      <c r="K577" s="8">
        <v>5.5999999999999994E-2</v>
      </c>
      <c r="L577" s="8">
        <v>7.9899999999999999E-2</v>
      </c>
      <c r="M577" s="8">
        <v>1.61E-2</v>
      </c>
      <c r="N577" s="7">
        <v>2.3900000000000005E-2</v>
      </c>
      <c r="O577" s="7">
        <v>6.399999999999989E-3</v>
      </c>
      <c r="P577" s="7">
        <v>-4.0000000000000105E-4</v>
      </c>
      <c r="Q577" s="7">
        <v>0</v>
      </c>
      <c r="R577" s="7">
        <v>1.4955E-2</v>
      </c>
      <c r="S577" s="7">
        <v>4.4000000000000003E-3</v>
      </c>
    </row>
    <row r="578" spans="1:19" x14ac:dyDescent="0.3">
      <c r="A578" s="3">
        <v>199501</v>
      </c>
      <c r="B578" s="6">
        <f t="shared" si="16"/>
        <v>2.1475567470765466E-2</v>
      </c>
      <c r="C578" s="4">
        <f t="shared" si="17"/>
        <v>2.1799000000000002E-2</v>
      </c>
      <c r="D578" s="5">
        <v>2.7996258662471837E-2</v>
      </c>
      <c r="E578" s="5">
        <v>2.8675942256189173E-2</v>
      </c>
      <c r="F578" s="7">
        <v>6.6429998724544026E-2</v>
      </c>
      <c r="G578" s="7">
        <v>0.42143999999999998</v>
      </c>
      <c r="H578" s="7">
        <v>2.8937658320599537E-4</v>
      </c>
      <c r="I578" s="7">
        <v>0.29085373438140161</v>
      </c>
      <c r="J578" s="7">
        <v>1.5095327899508723E-2</v>
      </c>
      <c r="K578" s="8">
        <v>5.7099999999999998E-2</v>
      </c>
      <c r="L578" s="8">
        <v>7.8E-2</v>
      </c>
      <c r="M578" s="8">
        <v>2.7300000000000001E-2</v>
      </c>
      <c r="N578" s="7">
        <v>2.0900000000000002E-2</v>
      </c>
      <c r="O578" s="7">
        <v>6.1999999999999972E-3</v>
      </c>
      <c r="P578" s="7">
        <v>-1.7000000000000001E-3</v>
      </c>
      <c r="Q578" s="7">
        <v>4.0080160320643543E-3</v>
      </c>
      <c r="R578" s="7">
        <v>2.5999000000000001E-2</v>
      </c>
      <c r="S578" s="7">
        <v>4.1999999999999997E-3</v>
      </c>
    </row>
    <row r="579" spans="1:19" x14ac:dyDescent="0.3">
      <c r="A579" s="3">
        <v>199502</v>
      </c>
      <c r="B579" s="6">
        <f t="shared" ref="B579:B642" si="18">LN(R579+1) - LN(S579+1)</f>
        <v>3.44861085446629E-2</v>
      </c>
      <c r="C579" s="4">
        <f t="shared" ref="C579:C642" si="19">R579 - S579</f>
        <v>3.5227999999999995E-2</v>
      </c>
      <c r="D579" s="5">
        <v>2.7021481770245593E-2</v>
      </c>
      <c r="E579" s="5">
        <v>2.7996258662471834E-2</v>
      </c>
      <c r="F579" s="7">
        <v>6.5450665791255483E-2</v>
      </c>
      <c r="G579" s="7">
        <v>0.41285266457680242</v>
      </c>
      <c r="H579" s="7">
        <v>4.724140804132983E-4</v>
      </c>
      <c r="I579" s="7">
        <v>0.27873003559221998</v>
      </c>
      <c r="J579" s="7">
        <v>1.4533983890415764E-2</v>
      </c>
      <c r="K579" s="8">
        <v>5.7699999999999994E-2</v>
      </c>
      <c r="L579" s="8">
        <v>7.5800000000000006E-2</v>
      </c>
      <c r="M579" s="8">
        <v>2.87E-2</v>
      </c>
      <c r="N579" s="7">
        <v>1.8100000000000012E-2</v>
      </c>
      <c r="O579" s="7">
        <v>5.9000000000000025E-3</v>
      </c>
      <c r="P579" s="7">
        <v>1.9999999999999879E-4</v>
      </c>
      <c r="Q579" s="7">
        <v>3.9920159680637557E-3</v>
      </c>
      <c r="R579" s="7">
        <v>3.9227999999999999E-2</v>
      </c>
      <c r="S579" s="7">
        <v>4.0000000000000001E-3</v>
      </c>
    </row>
    <row r="580" spans="1:19" x14ac:dyDescent="0.3">
      <c r="A580" s="3">
        <v>199503</v>
      </c>
      <c r="B580" s="6">
        <f t="shared" si="18"/>
        <v>2.4322538828796841E-2</v>
      </c>
      <c r="C580" s="4">
        <f t="shared" si="19"/>
        <v>2.4733999999999999E-2</v>
      </c>
      <c r="D580" s="5">
        <v>2.6302650236663935E-2</v>
      </c>
      <c r="E580" s="5">
        <v>2.702148177024559E-2</v>
      </c>
      <c r="F580" s="7">
        <v>6.5007689081504269E-2</v>
      </c>
      <c r="G580" s="7">
        <v>0.40460829493087547</v>
      </c>
      <c r="H580" s="7">
        <v>4.8430583915839867E-4</v>
      </c>
      <c r="I580" s="7">
        <v>0.3138765418776539</v>
      </c>
      <c r="J580" s="7">
        <v>1.4390439064971741E-2</v>
      </c>
      <c r="K580" s="8">
        <v>5.7300000000000004E-2</v>
      </c>
      <c r="L580" s="8">
        <v>7.5499999999999998E-2</v>
      </c>
      <c r="M580" s="8">
        <v>9.1000000000000004E-3</v>
      </c>
      <c r="N580" s="7">
        <v>1.8199999999999994E-2</v>
      </c>
      <c r="O580" s="7">
        <v>5.7999999999999996E-3</v>
      </c>
      <c r="P580" s="7">
        <v>3.9999999999999931E-4</v>
      </c>
      <c r="Q580" s="7">
        <v>3.3134526176274992E-3</v>
      </c>
      <c r="R580" s="7">
        <v>2.9333999999999999E-2</v>
      </c>
      <c r="S580" s="7">
        <v>4.5999999999999999E-3</v>
      </c>
    </row>
    <row r="581" spans="1:19" x14ac:dyDescent="0.3">
      <c r="A581" s="3">
        <v>199504</v>
      </c>
      <c r="B581" s="6">
        <f t="shared" si="18"/>
        <v>2.4580902725060097E-2</v>
      </c>
      <c r="C581" s="4">
        <f t="shared" si="19"/>
        <v>2.4995E-2</v>
      </c>
      <c r="D581" s="5">
        <v>2.5710918122178829E-2</v>
      </c>
      <c r="E581" s="5">
        <v>2.6429803013054795E-2</v>
      </c>
      <c r="F581" s="7">
        <v>6.4457008153458589E-2</v>
      </c>
      <c r="G581" s="7">
        <v>0.3988847583643122</v>
      </c>
      <c r="H581" s="7">
        <v>2.5692037608505681E-4</v>
      </c>
      <c r="I581" s="7">
        <v>0.30199470082470092</v>
      </c>
      <c r="J581" s="7">
        <v>1.3013332662942119E-2</v>
      </c>
      <c r="K581" s="8">
        <v>5.6500000000000002E-2</v>
      </c>
      <c r="L581" s="8">
        <v>7.4499999999999997E-2</v>
      </c>
      <c r="M581" s="8">
        <v>1.6899999999999998E-2</v>
      </c>
      <c r="N581" s="7">
        <v>1.7999999999999995E-2</v>
      </c>
      <c r="O581" s="7">
        <v>5.6999999999999967E-3</v>
      </c>
      <c r="P581" s="7">
        <v>6.0000000000000331E-4</v>
      </c>
      <c r="Q581" s="7">
        <v>3.3025099075296716E-3</v>
      </c>
      <c r="R581" s="7">
        <v>2.9395000000000001E-2</v>
      </c>
      <c r="S581" s="7">
        <v>4.4000000000000003E-3</v>
      </c>
    </row>
    <row r="582" spans="1:19" x14ac:dyDescent="0.3">
      <c r="A582" s="3">
        <v>199505</v>
      </c>
      <c r="B582" s="6">
        <f t="shared" si="18"/>
        <v>3.3651570164356853E-2</v>
      </c>
      <c r="C582" s="4">
        <f t="shared" si="19"/>
        <v>3.4408999999999995E-2</v>
      </c>
      <c r="D582" s="5">
        <v>2.4929383827021624E-2</v>
      </c>
      <c r="E582" s="5">
        <v>2.5834612370720083E-2</v>
      </c>
      <c r="F582" s="7">
        <v>6.3373328333958256E-2</v>
      </c>
      <c r="G582" s="7">
        <v>0.39337343457252738</v>
      </c>
      <c r="H582" s="7">
        <v>1.0114420621799751E-3</v>
      </c>
      <c r="I582" s="7">
        <v>0.29226425424563679</v>
      </c>
      <c r="J582" s="7">
        <v>1.0744673448248256E-2</v>
      </c>
      <c r="K582" s="8">
        <v>5.67E-2</v>
      </c>
      <c r="L582" s="8">
        <v>6.7699999999999996E-2</v>
      </c>
      <c r="M582" s="8">
        <v>7.9000000000000001E-2</v>
      </c>
      <c r="N582" s="7">
        <v>1.0999999999999996E-2</v>
      </c>
      <c r="O582" s="7">
        <v>5.499999999999991E-3</v>
      </c>
      <c r="P582" s="7">
        <v>-1.5899999999999997E-2</v>
      </c>
      <c r="Q582" s="7">
        <v>1.9749835418036987E-3</v>
      </c>
      <c r="R582" s="7">
        <v>3.9808999999999997E-2</v>
      </c>
      <c r="S582" s="7">
        <v>5.4000000000000003E-3</v>
      </c>
    </row>
    <row r="583" spans="1:19" x14ac:dyDescent="0.3">
      <c r="A583" s="3">
        <v>199506</v>
      </c>
      <c r="B583" s="6">
        <f t="shared" si="18"/>
        <v>1.9178892863827686E-2</v>
      </c>
      <c r="C583" s="4">
        <f t="shared" si="19"/>
        <v>1.9455E-2</v>
      </c>
      <c r="D583" s="5">
        <v>2.4526847177604408E-2</v>
      </c>
      <c r="E583" s="5">
        <v>2.5048743907011627E-2</v>
      </c>
      <c r="F583" s="7">
        <v>6.320330426801285E-2</v>
      </c>
      <c r="G583" s="7">
        <v>0.38806273598605867</v>
      </c>
      <c r="H583" s="7">
        <v>6.9676432439916931E-4</v>
      </c>
      <c r="I583" s="7">
        <v>0.28642961789533944</v>
      </c>
      <c r="J583" s="7">
        <v>8.275796965371297E-3</v>
      </c>
      <c r="K583" s="8">
        <v>5.4699999999999999E-2</v>
      </c>
      <c r="L583" s="8">
        <v>6.7000000000000004E-2</v>
      </c>
      <c r="M583" s="8">
        <v>1.3899999999999999E-2</v>
      </c>
      <c r="N583" s="7">
        <v>1.2300000000000005E-2</v>
      </c>
      <c r="O583" s="7">
        <v>6.0000000000000053E-3</v>
      </c>
      <c r="P583" s="7">
        <v>-5.9999999999999984E-3</v>
      </c>
      <c r="Q583" s="7">
        <v>1.9710906701708719E-3</v>
      </c>
      <c r="R583" s="7">
        <v>2.4154999999999999E-2</v>
      </c>
      <c r="S583" s="7">
        <v>4.6999999999999993E-3</v>
      </c>
    </row>
    <row r="584" spans="1:19" x14ac:dyDescent="0.3">
      <c r="A584" s="3">
        <v>199507</v>
      </c>
      <c r="B584" s="6">
        <f t="shared" si="18"/>
        <v>2.8369269983912829E-2</v>
      </c>
      <c r="C584" s="4">
        <f t="shared" si="19"/>
        <v>2.8904999999999997E-2</v>
      </c>
      <c r="D584" s="5">
        <v>2.3898397561351696E-2</v>
      </c>
      <c r="E584" s="5">
        <v>2.4657794095150679E-2</v>
      </c>
      <c r="F584" s="7">
        <v>6.1701597694196357E-2</v>
      </c>
      <c r="G584" s="7">
        <v>0.38732218377547095</v>
      </c>
      <c r="H584" s="7">
        <v>7.7322772875298453E-4</v>
      </c>
      <c r="I584" s="7">
        <v>0.27716036719066023</v>
      </c>
      <c r="J584" s="7">
        <v>7.0619725289754152E-3</v>
      </c>
      <c r="K584" s="8">
        <v>5.4199999999999998E-2</v>
      </c>
      <c r="L584" s="8">
        <v>6.9099999999999995E-2</v>
      </c>
      <c r="M584" s="8">
        <v>-1.6799999999999999E-2</v>
      </c>
      <c r="N584" s="7">
        <v>1.4899999999999997E-2</v>
      </c>
      <c r="O584" s="7">
        <v>6.2999999999999862E-3</v>
      </c>
      <c r="P584" s="7">
        <v>6.6999999999999994E-3</v>
      </c>
      <c r="Q584" s="7">
        <v>0</v>
      </c>
      <c r="R584" s="7">
        <v>3.3404999999999997E-2</v>
      </c>
      <c r="S584" s="7">
        <v>4.5000000000000005E-3</v>
      </c>
    </row>
    <row r="585" spans="1:19" x14ac:dyDescent="0.3">
      <c r="A585" s="3">
        <v>199508</v>
      </c>
      <c r="B585" s="6">
        <f t="shared" si="18"/>
        <v>-1.1931072094473164E-3</v>
      </c>
      <c r="C585" s="4">
        <f t="shared" si="19"/>
        <v>-1.1979999999999994E-3</v>
      </c>
      <c r="D585" s="5">
        <v>2.4033008234261171E-2</v>
      </c>
      <c r="E585" s="5">
        <v>2.4025311651187892E-2</v>
      </c>
      <c r="F585" s="7">
        <v>6.21662988538478E-2</v>
      </c>
      <c r="G585" s="7">
        <v>0.38659223208321403</v>
      </c>
      <c r="H585" s="7">
        <v>2.0672971563526985E-4</v>
      </c>
      <c r="I585" s="7">
        <v>0.28304613470217127</v>
      </c>
      <c r="J585" s="7">
        <v>9.122313410102818E-3</v>
      </c>
      <c r="K585" s="8">
        <v>5.4000000000000006E-2</v>
      </c>
      <c r="L585" s="8">
        <v>6.7400000000000002E-2</v>
      </c>
      <c r="M585" s="8">
        <v>2.3599999999999999E-2</v>
      </c>
      <c r="N585" s="7">
        <v>1.3399999999999995E-2</v>
      </c>
      <c r="O585" s="7">
        <v>6.1999999999999972E-3</v>
      </c>
      <c r="P585" s="7">
        <v>-2.2000000000000006E-3</v>
      </c>
      <c r="Q585" s="7">
        <v>2.6229508196722318E-3</v>
      </c>
      <c r="R585" s="7">
        <v>3.5019999999999999E-3</v>
      </c>
      <c r="S585" s="7">
        <v>4.6999999999999993E-3</v>
      </c>
    </row>
    <row r="586" spans="1:19" x14ac:dyDescent="0.3">
      <c r="A586" s="3">
        <v>199509</v>
      </c>
      <c r="B586" s="6">
        <f t="shared" si="18"/>
        <v>3.6949045798859041E-2</v>
      </c>
      <c r="C586" s="4">
        <f t="shared" si="19"/>
        <v>3.7802000000000002E-2</v>
      </c>
      <c r="D586" s="5">
        <v>2.3228555295083931E-2</v>
      </c>
      <c r="E586" s="5">
        <v>2.4159962981419519E-2</v>
      </c>
      <c r="F586" s="7">
        <v>6.0197464109101491E-2</v>
      </c>
      <c r="G586" s="7">
        <v>0.38587265491756678</v>
      </c>
      <c r="H586" s="7">
        <v>3.8145363144266744E-4</v>
      </c>
      <c r="I586" s="7">
        <v>0.27249499759269041</v>
      </c>
      <c r="J586" s="7">
        <v>6.3801687668260361E-3</v>
      </c>
      <c r="K586" s="8">
        <v>5.28E-2</v>
      </c>
      <c r="L586" s="8">
        <v>6.6299999999999998E-2</v>
      </c>
      <c r="M586" s="8">
        <v>1.7500000000000002E-2</v>
      </c>
      <c r="N586" s="7">
        <v>1.3499999999999998E-2</v>
      </c>
      <c r="O586" s="7">
        <v>6.0999999999999943E-3</v>
      </c>
      <c r="P586" s="7">
        <v>-2.2000000000000023E-3</v>
      </c>
      <c r="Q586" s="7">
        <v>1.9620667102679956E-3</v>
      </c>
      <c r="R586" s="7">
        <v>4.2102000000000001E-2</v>
      </c>
      <c r="S586" s="7">
        <v>4.3E-3</v>
      </c>
    </row>
    <row r="587" spans="1:19" x14ac:dyDescent="0.3">
      <c r="A587" s="3">
        <v>199510</v>
      </c>
      <c r="B587" s="6">
        <f t="shared" si="18"/>
        <v>-8.1369267961939537E-3</v>
      </c>
      <c r="C587" s="4">
        <f t="shared" si="19"/>
        <v>-8.1419999999999999E-3</v>
      </c>
      <c r="D587" s="5">
        <v>2.3466895958727425E-2</v>
      </c>
      <c r="E587" s="5">
        <v>2.3350045344877737E-2</v>
      </c>
      <c r="F587" s="7">
        <v>5.9799369446832902E-2</v>
      </c>
      <c r="G587" s="7">
        <v>0.3924271472392637</v>
      </c>
      <c r="H587" s="7">
        <v>4.8781727394307014E-4</v>
      </c>
      <c r="I587" s="7">
        <v>0.27442024525926073</v>
      </c>
      <c r="J587" s="7">
        <v>1.2222073267057022E-2</v>
      </c>
      <c r="K587" s="8">
        <v>5.28E-2</v>
      </c>
      <c r="L587" s="8">
        <v>6.4100000000000004E-2</v>
      </c>
      <c r="M587" s="8">
        <v>2.9399999999999999E-2</v>
      </c>
      <c r="N587" s="7">
        <v>1.1300000000000004E-2</v>
      </c>
      <c r="O587" s="7">
        <v>6.3E-3</v>
      </c>
      <c r="P587" s="7">
        <v>-1.09E-2</v>
      </c>
      <c r="Q587" s="7">
        <v>3.2637075718016106E-3</v>
      </c>
      <c r="R587" s="7">
        <v>-3.4420000000000002E-3</v>
      </c>
      <c r="S587" s="7">
        <v>4.6999999999999993E-3</v>
      </c>
    </row>
    <row r="588" spans="1:19" x14ac:dyDescent="0.3">
      <c r="A588" s="3">
        <v>199511</v>
      </c>
      <c r="B588" s="6">
        <f t="shared" si="18"/>
        <v>3.9039726083786641E-2</v>
      </c>
      <c r="C588" s="4">
        <f t="shared" si="19"/>
        <v>3.9979000000000001E-2</v>
      </c>
      <c r="D588" s="5">
        <v>2.265886978211672E-2</v>
      </c>
      <c r="E588" s="5">
        <v>2.3588993981083405E-2</v>
      </c>
      <c r="F588" s="7">
        <v>5.676968906068465E-2</v>
      </c>
      <c r="G588" s="7">
        <v>0.3991367604267701</v>
      </c>
      <c r="H588" s="7">
        <v>5.4616270962142737E-4</v>
      </c>
      <c r="I588" s="7">
        <v>0.25716885151700014</v>
      </c>
      <c r="J588" s="7">
        <v>1.6870952814180593E-2</v>
      </c>
      <c r="K588" s="8">
        <v>5.3600000000000002E-2</v>
      </c>
      <c r="L588" s="8">
        <v>6.2300000000000001E-2</v>
      </c>
      <c r="M588" s="8">
        <v>2.4899999999999999E-2</v>
      </c>
      <c r="N588" s="7">
        <v>8.6999999999999994E-3</v>
      </c>
      <c r="O588" s="7">
        <v>6.5999999999999948E-3</v>
      </c>
      <c r="P588" s="7">
        <v>-6.9999999999999923E-4</v>
      </c>
      <c r="Q588" s="7">
        <v>-6.5061808718280822E-4</v>
      </c>
      <c r="R588" s="7">
        <v>4.4179000000000003E-2</v>
      </c>
      <c r="S588" s="7">
        <v>4.1999999999999997E-3</v>
      </c>
    </row>
    <row r="589" spans="1:19" x14ac:dyDescent="0.3">
      <c r="A589" s="3">
        <v>199512</v>
      </c>
      <c r="B589" s="6">
        <f t="shared" si="18"/>
        <v>1.2601134927481187E-2</v>
      </c>
      <c r="C589" s="4">
        <f t="shared" si="19"/>
        <v>1.2742999999999999E-2</v>
      </c>
      <c r="D589" s="5">
        <v>2.238566070819736E-2</v>
      </c>
      <c r="E589" s="5">
        <v>2.277615342682987E-2</v>
      </c>
      <c r="F589" s="7">
        <v>5.5136135599824658E-2</v>
      </c>
      <c r="G589" s="7">
        <v>0.40600706713780915</v>
      </c>
      <c r="H589" s="7">
        <v>8.2053647917574115E-4</v>
      </c>
      <c r="I589" s="7">
        <v>0.25502638293953511</v>
      </c>
      <c r="J589" s="7">
        <v>1.5526517530730723E-2</v>
      </c>
      <c r="K589" s="8">
        <v>5.1399999999999994E-2</v>
      </c>
      <c r="L589" s="8">
        <v>6.0299999999999999E-2</v>
      </c>
      <c r="M589" s="8">
        <v>2.7199999999999998E-2</v>
      </c>
      <c r="N589" s="7">
        <v>8.9000000000000051E-3</v>
      </c>
      <c r="O589" s="7">
        <v>6.7000000000000115E-3</v>
      </c>
      <c r="P589" s="7">
        <v>-4.3999999999999977E-3</v>
      </c>
      <c r="Q589" s="7">
        <v>-6.5104166666662966E-4</v>
      </c>
      <c r="R589" s="7">
        <v>1.7642999999999999E-2</v>
      </c>
      <c r="S589" s="7">
        <v>4.8999999999999998E-3</v>
      </c>
    </row>
    <row r="590" spans="1:19" x14ac:dyDescent="0.3">
      <c r="A590" s="3">
        <v>199601</v>
      </c>
      <c r="B590" s="6">
        <f t="shared" si="18"/>
        <v>2.997633676428034E-2</v>
      </c>
      <c r="C590" s="4">
        <f t="shared" si="19"/>
        <v>3.0561000000000005E-2</v>
      </c>
      <c r="D590" s="5">
        <v>2.1844176807857191E-2</v>
      </c>
      <c r="E590" s="5">
        <v>2.2556675812727633E-2</v>
      </c>
      <c r="F590" s="7">
        <v>5.3436474743980798E-2</v>
      </c>
      <c r="G590" s="7">
        <v>0.40878775990584537</v>
      </c>
      <c r="H590" s="7">
        <v>1.3839551115789395E-3</v>
      </c>
      <c r="I590" s="7">
        <v>0.24187717210079357</v>
      </c>
      <c r="J590" s="7">
        <v>1.6127862770279326E-2</v>
      </c>
      <c r="K590" s="8">
        <v>0.05</v>
      </c>
      <c r="L590" s="8">
        <v>6.0900000000000003E-2</v>
      </c>
      <c r="M590" s="8">
        <v>-1.1000000000000001E-3</v>
      </c>
      <c r="N590" s="7">
        <v>1.09E-2</v>
      </c>
      <c r="O590" s="7">
        <v>6.6000000000000086E-3</v>
      </c>
      <c r="P590" s="7">
        <v>2.5000000000000001E-3</v>
      </c>
      <c r="Q590" s="7">
        <v>5.8631921824103816E-3</v>
      </c>
      <c r="R590" s="7">
        <v>3.4861000000000003E-2</v>
      </c>
      <c r="S590" s="7">
        <v>4.3E-3</v>
      </c>
    </row>
    <row r="591" spans="1:19" x14ac:dyDescent="0.3">
      <c r="A591" s="3">
        <v>199602</v>
      </c>
      <c r="B591" s="6">
        <f t="shared" si="18"/>
        <v>6.1450410552097712E-3</v>
      </c>
      <c r="C591" s="4">
        <f t="shared" si="19"/>
        <v>6.1879999999999991E-3</v>
      </c>
      <c r="D591" s="5">
        <v>2.1858230667936646E-2</v>
      </c>
      <c r="E591" s="5">
        <v>2.2009790048530965E-2</v>
      </c>
      <c r="F591" s="7">
        <v>5.3110149951334791E-2</v>
      </c>
      <c r="G591" s="7">
        <v>0.41156409251274001</v>
      </c>
      <c r="H591" s="7">
        <v>1.267630922844381E-3</v>
      </c>
      <c r="I591" s="7">
        <v>0.23789473710345846</v>
      </c>
      <c r="J591" s="7">
        <v>1.6801368282704777E-2</v>
      </c>
      <c r="K591" s="8">
        <v>4.8300000000000003E-2</v>
      </c>
      <c r="L591" s="8">
        <v>6.59E-2</v>
      </c>
      <c r="M591" s="8">
        <v>-4.8300000000000003E-2</v>
      </c>
      <c r="N591" s="7">
        <v>1.7599999999999998E-2</v>
      </c>
      <c r="O591" s="7">
        <v>6.399999999999989E-3</v>
      </c>
      <c r="P591" s="7">
        <v>1.1000000000000003E-2</v>
      </c>
      <c r="Q591" s="7">
        <v>3.2383419689119286E-3</v>
      </c>
      <c r="R591" s="7">
        <v>1.0088E-2</v>
      </c>
      <c r="S591" s="7">
        <v>3.9000000000000003E-3</v>
      </c>
    </row>
    <row r="592" spans="1:19" x14ac:dyDescent="0.3">
      <c r="A592" s="3">
        <v>199603</v>
      </c>
      <c r="B592" s="6">
        <f t="shared" si="18"/>
        <v>5.6469406098408059E-3</v>
      </c>
      <c r="C592" s="4">
        <f t="shared" si="19"/>
        <v>5.6849999999999991E-3</v>
      </c>
      <c r="D592" s="5">
        <v>2.1849728892331523E-2</v>
      </c>
      <c r="E592" s="5">
        <v>2.2022703496088567E-2</v>
      </c>
      <c r="F592" s="7">
        <v>5.2734314484895427E-2</v>
      </c>
      <c r="G592" s="7">
        <v>0.41433607520564042</v>
      </c>
      <c r="H592" s="7">
        <v>1.7417161302782712E-3</v>
      </c>
      <c r="I592" s="7">
        <v>0.23929961540850445</v>
      </c>
      <c r="J592" s="7">
        <v>1.6891911575242943E-2</v>
      </c>
      <c r="K592" s="8">
        <v>4.9599999999999998E-2</v>
      </c>
      <c r="L592" s="8">
        <v>6.8400000000000002E-2</v>
      </c>
      <c r="M592" s="8">
        <v>-2.1000000000000001E-2</v>
      </c>
      <c r="N592" s="7">
        <v>1.8800000000000004E-2</v>
      </c>
      <c r="O592" s="7">
        <v>6.8000000000000005E-3</v>
      </c>
      <c r="P592" s="7">
        <v>8.0000000000000019E-3</v>
      </c>
      <c r="Q592" s="7">
        <v>5.1646223369914424E-3</v>
      </c>
      <c r="R592" s="7">
        <v>9.5849999999999998E-3</v>
      </c>
      <c r="S592" s="7">
        <v>3.9000000000000003E-3</v>
      </c>
    </row>
    <row r="593" spans="1:19" x14ac:dyDescent="0.3">
      <c r="A593" s="3">
        <v>199604</v>
      </c>
      <c r="B593" s="6">
        <f t="shared" si="18"/>
        <v>1.043018605843416E-2</v>
      </c>
      <c r="C593" s="4">
        <f t="shared" si="19"/>
        <v>1.0533000000000001E-2</v>
      </c>
      <c r="D593" s="5">
        <v>2.1646259127342027E-2</v>
      </c>
      <c r="E593" s="5">
        <v>2.1936999741802223E-2</v>
      </c>
      <c r="F593" s="7">
        <v>5.2478713484262501E-2</v>
      </c>
      <c r="G593" s="7">
        <v>0.41247693950869019</v>
      </c>
      <c r="H593" s="7">
        <v>9.8183755388614132E-4</v>
      </c>
      <c r="I593" s="7">
        <v>0.24007580620728264</v>
      </c>
      <c r="J593" s="7">
        <v>2.112195348676604E-2</v>
      </c>
      <c r="K593" s="8">
        <v>4.9500000000000002E-2</v>
      </c>
      <c r="L593" s="8">
        <v>7.0599999999999996E-2</v>
      </c>
      <c r="M593" s="8">
        <v>-1.6500000000000001E-2</v>
      </c>
      <c r="N593" s="7">
        <v>2.1099999999999994E-2</v>
      </c>
      <c r="O593" s="7">
        <v>6.9000000000000034E-3</v>
      </c>
      <c r="P593" s="7">
        <v>5.0000000000000044E-4</v>
      </c>
      <c r="Q593" s="7">
        <v>3.8535645472064228E-3</v>
      </c>
      <c r="R593" s="7">
        <v>1.5133000000000001E-2</v>
      </c>
      <c r="S593" s="7">
        <v>4.5999999999999999E-3</v>
      </c>
    </row>
    <row r="594" spans="1:19" x14ac:dyDescent="0.3">
      <c r="A594" s="3">
        <v>199605</v>
      </c>
      <c r="B594" s="6">
        <f t="shared" si="18"/>
        <v>2.0752108251279291E-2</v>
      </c>
      <c r="C594" s="4">
        <f t="shared" si="19"/>
        <v>2.1057000000000003E-2</v>
      </c>
      <c r="D594" s="5">
        <v>2.1246811732823209E-2</v>
      </c>
      <c r="E594" s="5">
        <v>2.1732373338225027E-2</v>
      </c>
      <c r="F594" s="7">
        <v>5.1739598278335734E-2</v>
      </c>
      <c r="G594" s="7">
        <v>0.4106489505103022</v>
      </c>
      <c r="H594" s="7">
        <v>1.1252911637478064E-3</v>
      </c>
      <c r="I594" s="7">
        <v>0.23692351549588916</v>
      </c>
      <c r="J594" s="7">
        <v>2.6419154428536925E-2</v>
      </c>
      <c r="K594" s="8">
        <v>5.0199999999999995E-2</v>
      </c>
      <c r="L594" s="8">
        <v>7.17E-2</v>
      </c>
      <c r="M594" s="8">
        <v>-5.4000000000000003E-3</v>
      </c>
      <c r="N594" s="7">
        <v>2.1500000000000005E-2</v>
      </c>
      <c r="O594" s="7">
        <v>6.8000000000000005E-3</v>
      </c>
      <c r="P594" s="7">
        <v>5.9000000000000007E-3</v>
      </c>
      <c r="Q594" s="7">
        <v>1.9193857965449368E-3</v>
      </c>
      <c r="R594" s="7">
        <v>2.5257000000000002E-2</v>
      </c>
      <c r="S594" s="7">
        <v>4.1999999999999997E-3</v>
      </c>
    </row>
    <row r="595" spans="1:19" x14ac:dyDescent="0.3">
      <c r="A595" s="3">
        <v>199606</v>
      </c>
      <c r="B595" s="6">
        <f t="shared" si="18"/>
        <v>1.2748191367607711E-4</v>
      </c>
      <c r="C595" s="4">
        <f t="shared" si="19"/>
        <v>1.2799999999999964E-4</v>
      </c>
      <c r="D595" s="5">
        <v>2.1282972727137171E-2</v>
      </c>
      <c r="E595" s="5">
        <v>2.1331001912960307E-2</v>
      </c>
      <c r="F595" s="7">
        <v>5.2055529874893765E-2</v>
      </c>
      <c r="G595" s="7">
        <v>0.40885133199656254</v>
      </c>
      <c r="H595" s="7">
        <v>3.9480383279131827E-4</v>
      </c>
      <c r="I595" s="7">
        <v>0.23644372524397833</v>
      </c>
      <c r="J595" s="7">
        <v>2.7216174233279659E-2</v>
      </c>
      <c r="K595" s="8">
        <v>5.0900000000000001E-2</v>
      </c>
      <c r="L595" s="8">
        <v>7.0300000000000001E-2</v>
      </c>
      <c r="M595" s="8">
        <v>2.0299999999999999E-2</v>
      </c>
      <c r="N595" s="7">
        <v>1.9400000000000001E-2</v>
      </c>
      <c r="O595" s="7">
        <v>6.9000000000000034E-3</v>
      </c>
      <c r="P595" s="7">
        <v>-3.0999999999999986E-3</v>
      </c>
      <c r="Q595" s="7">
        <v>6.3856960408670282E-4</v>
      </c>
      <c r="R595" s="7">
        <v>4.1279999999999997E-3</v>
      </c>
      <c r="S595" s="7">
        <v>4.0000000000000001E-3</v>
      </c>
    </row>
    <row r="596" spans="1:19" x14ac:dyDescent="0.3">
      <c r="A596" s="3">
        <v>199607</v>
      </c>
      <c r="B596" s="6">
        <f t="shared" si="18"/>
        <v>-4.9950767722844874E-2</v>
      </c>
      <c r="C596" s="4">
        <f t="shared" si="19"/>
        <v>-4.8943E-2</v>
      </c>
      <c r="D596" s="5">
        <v>2.2506966690105996E-2</v>
      </c>
      <c r="E596" s="5">
        <v>2.1477317348363976E-2</v>
      </c>
      <c r="F596" s="7">
        <v>5.5118889496575257E-2</v>
      </c>
      <c r="G596" s="7">
        <v>0.40833490833490821</v>
      </c>
      <c r="H596" s="7">
        <v>2.3551484497514076E-3</v>
      </c>
      <c r="I596" s="7">
        <v>0.24181989379253627</v>
      </c>
      <c r="J596" s="7">
        <v>3.113686518002411E-2</v>
      </c>
      <c r="K596" s="8">
        <v>5.1500000000000004E-2</v>
      </c>
      <c r="L596" s="8">
        <v>7.0699999999999999E-2</v>
      </c>
      <c r="M596" s="8">
        <v>1.8E-3</v>
      </c>
      <c r="N596" s="7">
        <v>1.9199999999999995E-2</v>
      </c>
      <c r="O596" s="7">
        <v>6.9999999999999923E-3</v>
      </c>
      <c r="P596" s="7">
        <v>-7.9999999999999993E-4</v>
      </c>
      <c r="Q596" s="7">
        <v>1.9144862795150708E-3</v>
      </c>
      <c r="R596" s="7">
        <v>-4.4443000000000003E-2</v>
      </c>
      <c r="S596" s="7">
        <v>4.5000000000000005E-3</v>
      </c>
    </row>
    <row r="597" spans="1:19" x14ac:dyDescent="0.3">
      <c r="A597" s="3">
        <v>199608</v>
      </c>
      <c r="B597" s="6">
        <f t="shared" si="18"/>
        <v>1.7599421298687024E-2</v>
      </c>
      <c r="C597" s="4">
        <f t="shared" si="19"/>
        <v>1.7828E-2</v>
      </c>
      <c r="D597" s="5">
        <v>2.2291241685710929E-2</v>
      </c>
      <c r="E597" s="5">
        <v>2.2710628434513113E-2</v>
      </c>
      <c r="F597" s="7">
        <v>5.4658302530202409E-2</v>
      </c>
      <c r="G597" s="7">
        <v>0.40782901505939578</v>
      </c>
      <c r="H597" s="7">
        <v>1.1215206691417817E-3</v>
      </c>
      <c r="I597" s="7">
        <v>0.23806111786702766</v>
      </c>
      <c r="J597" s="7">
        <v>3.0886106462759414E-2</v>
      </c>
      <c r="K597" s="8">
        <v>5.0499999999999996E-2</v>
      </c>
      <c r="L597" s="8">
        <v>7.2599999999999998E-2</v>
      </c>
      <c r="M597" s="8">
        <v>-1.3899999999999999E-2</v>
      </c>
      <c r="N597" s="7">
        <v>2.2100000000000002E-2</v>
      </c>
      <c r="O597" s="7">
        <v>7.1999999999999981E-3</v>
      </c>
      <c r="P597" s="7">
        <v>6.899999999999999E-3</v>
      </c>
      <c r="Q597" s="7">
        <v>1.9108280254778176E-3</v>
      </c>
      <c r="R597" s="7">
        <v>2.1928E-2</v>
      </c>
      <c r="S597" s="7">
        <v>4.0999999999999995E-3</v>
      </c>
    </row>
    <row r="598" spans="1:19" x14ac:dyDescent="0.3">
      <c r="A598" s="3">
        <v>199609</v>
      </c>
      <c r="B598" s="6">
        <f t="shared" si="18"/>
        <v>5.013098037292265E-2</v>
      </c>
      <c r="C598" s="4">
        <f t="shared" si="19"/>
        <v>5.1635E-2</v>
      </c>
      <c r="D598" s="5">
        <v>2.1335350860601478E-2</v>
      </c>
      <c r="E598" s="5">
        <v>2.2491142502185618E-2</v>
      </c>
      <c r="F598" s="7">
        <v>5.2378111769070729E-2</v>
      </c>
      <c r="G598" s="7">
        <v>0.40733333333333338</v>
      </c>
      <c r="H598" s="7">
        <v>6.8624302966622088E-4</v>
      </c>
      <c r="I598" s="7">
        <v>0.22729731810082116</v>
      </c>
      <c r="J598" s="7">
        <v>2.9580736477171136E-2</v>
      </c>
      <c r="K598" s="8">
        <v>5.0900000000000001E-2</v>
      </c>
      <c r="L598" s="8">
        <v>7.0400000000000004E-2</v>
      </c>
      <c r="M598" s="8">
        <v>2.9000000000000001E-2</v>
      </c>
      <c r="N598" s="7">
        <v>1.9500000000000003E-2</v>
      </c>
      <c r="O598" s="7">
        <v>6.8999999999999895E-3</v>
      </c>
      <c r="P598" s="7">
        <v>-3.1000000000000021E-3</v>
      </c>
      <c r="Q598" s="7">
        <v>3.1786395422759295E-3</v>
      </c>
      <c r="R598" s="7">
        <v>5.6035000000000001E-2</v>
      </c>
      <c r="S598" s="7">
        <v>4.4000000000000003E-3</v>
      </c>
    </row>
    <row r="599" spans="1:19" x14ac:dyDescent="0.3">
      <c r="A599" s="3">
        <v>199610</v>
      </c>
      <c r="B599" s="6">
        <f t="shared" si="18"/>
        <v>2.225401759549623E-2</v>
      </c>
      <c r="C599" s="4">
        <f t="shared" si="19"/>
        <v>2.2598E-2</v>
      </c>
      <c r="D599" s="5">
        <v>2.0903105666387815E-2</v>
      </c>
      <c r="E599" s="5">
        <v>2.1449321751950846E-2</v>
      </c>
      <c r="F599" s="7">
        <v>5.2334566903455421E-2</v>
      </c>
      <c r="G599" s="7">
        <v>0.39941298654384538</v>
      </c>
      <c r="H599" s="7">
        <v>6.066450315791056E-4</v>
      </c>
      <c r="I599" s="7">
        <v>0.22174765584938821</v>
      </c>
      <c r="J599" s="7">
        <v>2.5655808396834224E-2</v>
      </c>
      <c r="K599" s="8">
        <v>4.99E-2</v>
      </c>
      <c r="L599" s="8">
        <v>6.7100000000000007E-2</v>
      </c>
      <c r="M599" s="8">
        <v>4.0399999999999998E-2</v>
      </c>
      <c r="N599" s="7">
        <v>1.7200000000000007E-2</v>
      </c>
      <c r="O599" s="7">
        <v>6.8000000000000144E-3</v>
      </c>
      <c r="P599" s="7">
        <v>-4.2999999999999983E-3</v>
      </c>
      <c r="Q599" s="7">
        <v>3.1685678073509749E-3</v>
      </c>
      <c r="R599" s="7">
        <v>2.6797999999999999E-2</v>
      </c>
      <c r="S599" s="7">
        <v>4.1999999999999997E-3</v>
      </c>
    </row>
    <row r="600" spans="1:19" x14ac:dyDescent="0.3">
      <c r="A600" s="3">
        <v>199611</v>
      </c>
      <c r="B600" s="6">
        <f t="shared" si="18"/>
        <v>6.9568611171351449E-2</v>
      </c>
      <c r="C600" s="4">
        <f t="shared" si="19"/>
        <v>7.2340999999999989E-2</v>
      </c>
      <c r="D600" s="5">
        <v>1.957764215828732E-2</v>
      </c>
      <c r="E600" s="5">
        <v>2.1014174240598166E-2</v>
      </c>
      <c r="F600" s="7">
        <v>4.995904995904997E-2</v>
      </c>
      <c r="G600" s="7">
        <v>0.3918737881191609</v>
      </c>
      <c r="H600" s="7">
        <v>7.0373541790599999E-4</v>
      </c>
      <c r="I600" s="7">
        <v>0.20500791909557914</v>
      </c>
      <c r="J600" s="7">
        <v>2.2067341640474934E-2</v>
      </c>
      <c r="K600" s="8">
        <v>5.0300000000000004E-2</v>
      </c>
      <c r="L600" s="8">
        <v>6.4299999999999996E-2</v>
      </c>
      <c r="M600" s="8">
        <v>3.5099999999999999E-2</v>
      </c>
      <c r="N600" s="7">
        <v>1.3999999999999992E-2</v>
      </c>
      <c r="O600" s="7">
        <v>6.9000000000000034E-3</v>
      </c>
      <c r="P600" s="7">
        <v>-8.7999999999999988E-3</v>
      </c>
      <c r="Q600" s="7">
        <v>1.8951358180667732E-3</v>
      </c>
      <c r="R600" s="7">
        <v>7.6440999999999995E-2</v>
      </c>
      <c r="S600" s="7">
        <v>4.0999999999999995E-3</v>
      </c>
    </row>
    <row r="601" spans="1:19" x14ac:dyDescent="0.3">
      <c r="A601" s="3">
        <v>199612</v>
      </c>
      <c r="B601" s="6">
        <f t="shared" si="18"/>
        <v>-2.4586058442660361E-2</v>
      </c>
      <c r="C601" s="4">
        <f t="shared" si="19"/>
        <v>-2.4398E-2</v>
      </c>
      <c r="D601" s="5">
        <v>2.0113670113670112E-2</v>
      </c>
      <c r="E601" s="5">
        <v>1.9681118068214841E-2</v>
      </c>
      <c r="F601" s="7">
        <v>5.2285552285552289E-2</v>
      </c>
      <c r="G601" s="7">
        <v>0.38468887167570354</v>
      </c>
      <c r="H601" s="7">
        <v>1.7090845668988378E-3</v>
      </c>
      <c r="I601" s="7">
        <v>0.20734272969549994</v>
      </c>
      <c r="J601" s="7">
        <v>2.412568647503003E-2</v>
      </c>
      <c r="K601" s="8">
        <v>4.9100000000000005E-2</v>
      </c>
      <c r="L601" s="8">
        <v>6.7299999999999999E-2</v>
      </c>
      <c r="M601" s="8">
        <v>-2.5600000000000001E-2</v>
      </c>
      <c r="N601" s="7">
        <v>1.8199999999999994E-2</v>
      </c>
      <c r="O601" s="7">
        <v>6.8999999999999895E-3</v>
      </c>
      <c r="P601" s="7">
        <v>7.0000000000000027E-3</v>
      </c>
      <c r="Q601" s="7">
        <v>0</v>
      </c>
      <c r="R601" s="7">
        <v>-1.9798E-2</v>
      </c>
      <c r="S601" s="7">
        <v>4.5999999999999999E-3</v>
      </c>
    </row>
    <row r="602" spans="1:19" x14ac:dyDescent="0.3">
      <c r="A602" s="3">
        <v>199701</v>
      </c>
      <c r="B602" s="6">
        <f t="shared" si="18"/>
        <v>5.6442433899622897E-2</v>
      </c>
      <c r="C602" s="4">
        <f t="shared" si="19"/>
        <v>5.832699999999999E-2</v>
      </c>
      <c r="D602" s="5">
        <v>1.9019453207150368E-2</v>
      </c>
      <c r="E602" s="5">
        <v>2.0185670185670183E-2</v>
      </c>
      <c r="F602" s="7">
        <v>4.9905023574505616E-2</v>
      </c>
      <c r="G602" s="7">
        <v>0.38111299915038227</v>
      </c>
      <c r="H602" s="7">
        <v>1.3600822131999593E-3</v>
      </c>
      <c r="I602" s="7">
        <v>0.19624010286048429</v>
      </c>
      <c r="J602" s="7">
        <v>2.4406933496797244E-2</v>
      </c>
      <c r="K602" s="8">
        <v>5.0300000000000004E-2</v>
      </c>
      <c r="L602" s="8">
        <v>6.8900000000000003E-2</v>
      </c>
      <c r="M602" s="8">
        <v>-7.9000000000000008E-3</v>
      </c>
      <c r="N602" s="7">
        <v>1.8599999999999998E-2</v>
      </c>
      <c r="O602" s="7">
        <v>6.6999999999999976E-3</v>
      </c>
      <c r="P602" s="7">
        <v>5.1000000000000004E-3</v>
      </c>
      <c r="Q602" s="7">
        <v>3.1525851197982124E-3</v>
      </c>
      <c r="R602" s="7">
        <v>6.2826999999999994E-2</v>
      </c>
      <c r="S602" s="7">
        <v>4.5000000000000005E-3</v>
      </c>
    </row>
    <row r="603" spans="1:19" x14ac:dyDescent="0.3">
      <c r="A603" s="3">
        <v>199702</v>
      </c>
      <c r="B603" s="6">
        <f t="shared" si="18"/>
        <v>3.8296929170260779E-3</v>
      </c>
      <c r="C603" s="4">
        <f t="shared" si="19"/>
        <v>3.852E-3</v>
      </c>
      <c r="D603" s="5">
        <v>1.8974819385785217E-2</v>
      </c>
      <c r="E603" s="5">
        <v>1.9087293511074931E-2</v>
      </c>
      <c r="F603" s="7">
        <v>5.0247422506596529E-2</v>
      </c>
      <c r="G603" s="7">
        <v>0.37762771579565468</v>
      </c>
      <c r="H603" s="7">
        <v>1.4747914387731075E-3</v>
      </c>
      <c r="I603" s="7">
        <v>0.19439541077479064</v>
      </c>
      <c r="J603" s="7">
        <v>2.2910926141264071E-2</v>
      </c>
      <c r="K603" s="8">
        <v>5.0099999999999999E-2</v>
      </c>
      <c r="L603" s="8">
        <v>6.9400000000000003E-2</v>
      </c>
      <c r="M603" s="8">
        <v>5.0000000000000001E-4</v>
      </c>
      <c r="N603" s="7">
        <v>1.9300000000000005E-2</v>
      </c>
      <c r="O603" s="7">
        <v>6.3E-3</v>
      </c>
      <c r="P603" s="7">
        <v>2.3E-3</v>
      </c>
      <c r="Q603" s="7">
        <v>3.14267756128217E-3</v>
      </c>
      <c r="R603" s="7">
        <v>7.7520000000000002E-3</v>
      </c>
      <c r="S603" s="7">
        <v>3.9000000000000003E-3</v>
      </c>
    </row>
    <row r="604" spans="1:19" x14ac:dyDescent="0.3">
      <c r="A604" s="3">
        <v>199703</v>
      </c>
      <c r="B604" s="6">
        <f t="shared" si="18"/>
        <v>-4.6872656953294171E-2</v>
      </c>
      <c r="C604" s="4">
        <f t="shared" si="19"/>
        <v>-4.5988000000000001E-2</v>
      </c>
      <c r="D604" s="5">
        <v>1.9889845731191885E-2</v>
      </c>
      <c r="E604" s="5">
        <v>1.9042259932728053E-2</v>
      </c>
      <c r="F604" s="7">
        <v>5.3148774302620459E-2</v>
      </c>
      <c r="G604" s="7">
        <v>0.37422962226640155</v>
      </c>
      <c r="H604" s="7">
        <v>2.0014614517121668E-3</v>
      </c>
      <c r="I604" s="7">
        <v>0.2147802022701851</v>
      </c>
      <c r="J604" s="7">
        <v>2.1148544305308756E-2</v>
      </c>
      <c r="K604" s="8">
        <v>5.1399999999999994E-2</v>
      </c>
      <c r="L604" s="8">
        <v>7.2300000000000003E-2</v>
      </c>
      <c r="M604" s="8">
        <v>-2.52E-2</v>
      </c>
      <c r="N604" s="7">
        <v>2.0900000000000009E-2</v>
      </c>
      <c r="O604" s="7">
        <v>6.3E-3</v>
      </c>
      <c r="P604" s="7">
        <v>3.0999999999999986E-3</v>
      </c>
      <c r="Q604" s="7">
        <v>2.5062656641603454E-3</v>
      </c>
      <c r="R604" s="7">
        <v>-4.1688000000000003E-2</v>
      </c>
      <c r="S604" s="7">
        <v>4.3E-3</v>
      </c>
    </row>
    <row r="605" spans="1:19" x14ac:dyDescent="0.3">
      <c r="A605" s="3">
        <v>199704</v>
      </c>
      <c r="B605" s="6">
        <f t="shared" si="18"/>
        <v>5.4236583869926948E-2</v>
      </c>
      <c r="C605" s="4">
        <f t="shared" si="19"/>
        <v>5.5974000000000003E-2</v>
      </c>
      <c r="D605" s="5">
        <v>1.8834701874360444E-2</v>
      </c>
      <c r="E605" s="5">
        <v>1.9934752747252746E-2</v>
      </c>
      <c r="F605" s="7">
        <v>5.0344839061239093E-2</v>
      </c>
      <c r="G605" s="7">
        <v>0.37411385606874326</v>
      </c>
      <c r="H605" s="7">
        <v>3.0050810033315401E-3</v>
      </c>
      <c r="I605" s="7">
        <v>0.20174104781366001</v>
      </c>
      <c r="J605" s="7">
        <v>1.6945289843192528E-2</v>
      </c>
      <c r="K605" s="8">
        <v>5.16E-2</v>
      </c>
      <c r="L605" s="8">
        <v>7.0499999999999993E-2</v>
      </c>
      <c r="M605" s="8">
        <v>2.5499999999999998E-2</v>
      </c>
      <c r="N605" s="7">
        <v>1.8899999999999993E-2</v>
      </c>
      <c r="O605" s="7">
        <v>6.0999999999999943E-3</v>
      </c>
      <c r="P605" s="7">
        <v>-7.0999999999999987E-3</v>
      </c>
      <c r="Q605" s="7">
        <v>1.2499999999999734E-3</v>
      </c>
      <c r="R605" s="7">
        <v>6.0274000000000001E-2</v>
      </c>
      <c r="S605" s="7">
        <v>4.3E-3</v>
      </c>
    </row>
    <row r="606" spans="1:19" x14ac:dyDescent="0.3">
      <c r="A606" s="3">
        <v>199705</v>
      </c>
      <c r="B606" s="6">
        <f t="shared" si="18"/>
        <v>5.4701699490312769E-2</v>
      </c>
      <c r="C606" s="4">
        <f t="shared" si="19"/>
        <v>5.6500999999999996E-2</v>
      </c>
      <c r="D606" s="5">
        <v>1.7832555288348189E-2</v>
      </c>
      <c r="E606" s="5">
        <v>1.887713080590012E-2</v>
      </c>
      <c r="F606" s="7">
        <v>4.7680797221043368E-2</v>
      </c>
      <c r="G606" s="7">
        <v>0.3739986813911324</v>
      </c>
      <c r="H606" s="7">
        <v>2.0074557696695859E-3</v>
      </c>
      <c r="I606" s="7">
        <v>0.19287858787625403</v>
      </c>
      <c r="J606" s="7">
        <v>1.3264450904587279E-2</v>
      </c>
      <c r="K606" s="8">
        <v>5.0499999999999996E-2</v>
      </c>
      <c r="L606" s="8">
        <v>7.0099999999999996E-2</v>
      </c>
      <c r="M606" s="8">
        <v>9.7000000000000003E-3</v>
      </c>
      <c r="N606" s="7">
        <v>1.9599999999999999E-2</v>
      </c>
      <c r="O606" s="7">
        <v>6.1999999999999833E-3</v>
      </c>
      <c r="P606" s="7">
        <v>3.1000000000000003E-3</v>
      </c>
      <c r="Q606" s="7">
        <v>-6.2421972534332237E-4</v>
      </c>
      <c r="R606" s="7">
        <v>6.1400999999999997E-2</v>
      </c>
      <c r="S606" s="7">
        <v>4.8999999999999998E-3</v>
      </c>
    </row>
    <row r="607" spans="1:19" x14ac:dyDescent="0.3">
      <c r="A607" s="3">
        <v>199706</v>
      </c>
      <c r="B607" s="6">
        <f t="shared" si="18"/>
        <v>3.946497176018135E-2</v>
      </c>
      <c r="C607" s="4">
        <f t="shared" si="19"/>
        <v>4.0403000000000001E-2</v>
      </c>
      <c r="D607" s="5">
        <v>1.7128363874641301E-2</v>
      </c>
      <c r="E607" s="5">
        <v>1.7872636393643612E-2</v>
      </c>
      <c r="F607" s="7">
        <v>4.5811961949522105E-2</v>
      </c>
      <c r="G607" s="7">
        <v>0.37388409371146736</v>
      </c>
      <c r="H607" s="7">
        <v>1.9744632002779163E-3</v>
      </c>
      <c r="I607" s="7">
        <v>0.18428761503037272</v>
      </c>
      <c r="J607" s="7">
        <v>1.0846707123569102E-2</v>
      </c>
      <c r="K607" s="8">
        <v>4.9299999999999997E-2</v>
      </c>
      <c r="L607" s="8">
        <v>6.88E-2</v>
      </c>
      <c r="M607" s="8">
        <v>1.95E-2</v>
      </c>
      <c r="N607" s="7">
        <v>1.9500000000000003E-2</v>
      </c>
      <c r="O607" s="7">
        <v>6.0999999999999943E-3</v>
      </c>
      <c r="P607" s="7">
        <v>-7.9999999999999863E-4</v>
      </c>
      <c r="Q607" s="7">
        <v>1.2492192379762734E-3</v>
      </c>
      <c r="R607" s="7">
        <v>4.4103000000000003E-2</v>
      </c>
      <c r="S607" s="7">
        <v>3.7000000000000002E-3</v>
      </c>
    </row>
    <row r="608" spans="1:19" x14ac:dyDescent="0.3">
      <c r="A608" s="3">
        <v>199707</v>
      </c>
      <c r="B608" s="6">
        <f t="shared" si="18"/>
        <v>7.3029454460075596E-2</v>
      </c>
      <c r="C608" s="4">
        <f t="shared" si="19"/>
        <v>7.6088000000000003E-2</v>
      </c>
      <c r="D608" s="5">
        <v>1.5947283669883721E-2</v>
      </c>
      <c r="E608" s="5">
        <v>1.7193137055531708E-2</v>
      </c>
      <c r="F608" s="7">
        <v>4.2523761120833288E-2</v>
      </c>
      <c r="G608" s="7">
        <v>0.37502053556760317</v>
      </c>
      <c r="H608" s="7">
        <v>2.010215080185718E-3</v>
      </c>
      <c r="I608" s="7">
        <v>0.17196494296306417</v>
      </c>
      <c r="J608" s="7">
        <v>1.1592658570507177E-2</v>
      </c>
      <c r="K608" s="8">
        <v>5.0499999999999996E-2</v>
      </c>
      <c r="L608" s="8">
        <v>6.3700000000000007E-2</v>
      </c>
      <c r="M608" s="8">
        <v>6.2600000000000003E-2</v>
      </c>
      <c r="N608" s="7">
        <v>1.320000000000001E-2</v>
      </c>
      <c r="O608" s="7">
        <v>6.1000000000000082E-3</v>
      </c>
      <c r="P608" s="7">
        <v>-9.8000000000000032E-3</v>
      </c>
      <c r="Q608" s="7">
        <v>1.2476606363067688E-3</v>
      </c>
      <c r="R608" s="7">
        <v>8.0388000000000001E-2</v>
      </c>
      <c r="S608" s="7">
        <v>4.3E-3</v>
      </c>
    </row>
    <row r="609" spans="1:19" x14ac:dyDescent="0.3">
      <c r="A609" s="3">
        <v>199708</v>
      </c>
      <c r="B609" s="6">
        <f t="shared" si="18"/>
        <v>-6.0635514715120867E-2</v>
      </c>
      <c r="C609" s="4">
        <f t="shared" si="19"/>
        <v>-5.9075000000000003E-2</v>
      </c>
      <c r="D609" s="5">
        <v>1.6982964041787573E-2</v>
      </c>
      <c r="E609" s="5">
        <v>1.6007363240384653E-2</v>
      </c>
      <c r="F609" s="7">
        <v>4.5148809854692204E-2</v>
      </c>
      <c r="G609" s="7">
        <v>0.37615529836657646</v>
      </c>
      <c r="H609" s="7">
        <v>2.4647216646816335E-3</v>
      </c>
      <c r="I609" s="7">
        <v>0.18550540381833042</v>
      </c>
      <c r="J609" s="7">
        <v>1.2877263397759875E-2</v>
      </c>
      <c r="K609" s="8">
        <v>5.1399999999999994E-2</v>
      </c>
      <c r="L609" s="8">
        <v>6.7199999999999996E-2</v>
      </c>
      <c r="M609" s="8">
        <v>-3.1699999999999999E-2</v>
      </c>
      <c r="N609" s="7">
        <v>1.5800000000000002E-2</v>
      </c>
      <c r="O609" s="7">
        <v>6.0000000000000053E-3</v>
      </c>
      <c r="P609" s="7">
        <v>7.6999999999999985E-3</v>
      </c>
      <c r="Q609" s="7">
        <v>1.8691588785046953E-3</v>
      </c>
      <c r="R609" s="7">
        <v>-5.4975000000000003E-2</v>
      </c>
      <c r="S609" s="7">
        <v>4.0999999999999995E-3</v>
      </c>
    </row>
    <row r="610" spans="1:19" x14ac:dyDescent="0.3">
      <c r="A610" s="3">
        <v>199709</v>
      </c>
      <c r="B610" s="6">
        <f t="shared" si="18"/>
        <v>4.8093936575439526E-2</v>
      </c>
      <c r="C610" s="4">
        <f t="shared" si="19"/>
        <v>4.9486000000000002E-2</v>
      </c>
      <c r="D610" s="5">
        <v>1.618634405877882E-2</v>
      </c>
      <c r="E610" s="5">
        <v>1.7046705281999402E-2</v>
      </c>
      <c r="F610" s="7">
        <v>4.2901781944092554E-2</v>
      </c>
      <c r="G610" s="7">
        <v>0.37728838582677177</v>
      </c>
      <c r="H610" s="7">
        <v>2.6264943298630423E-3</v>
      </c>
      <c r="I610" s="7">
        <v>0.17796785704812584</v>
      </c>
      <c r="J610" s="7">
        <v>1.4634265613778232E-2</v>
      </c>
      <c r="K610" s="8">
        <v>4.9500000000000002E-2</v>
      </c>
      <c r="L610" s="8">
        <v>6.4899999999999999E-2</v>
      </c>
      <c r="M610" s="8">
        <v>3.1600000000000003E-2</v>
      </c>
      <c r="N610" s="7">
        <v>1.5399999999999997E-2</v>
      </c>
      <c r="O610" s="7">
        <v>5.499999999999991E-3</v>
      </c>
      <c r="P610" s="7">
        <v>-9.0000000000000045E-3</v>
      </c>
      <c r="Q610" s="7">
        <v>2.4875621890545485E-3</v>
      </c>
      <c r="R610" s="7">
        <v>5.3886000000000003E-2</v>
      </c>
      <c r="S610" s="7">
        <v>4.4000000000000003E-3</v>
      </c>
    </row>
    <row r="611" spans="1:19" x14ac:dyDescent="0.3">
      <c r="A611" s="3">
        <v>199710</v>
      </c>
      <c r="B611" s="6">
        <f t="shared" si="18"/>
        <v>-3.7339591717946458E-2</v>
      </c>
      <c r="C611" s="4">
        <f t="shared" si="19"/>
        <v>-3.6805000000000004E-2</v>
      </c>
      <c r="D611" s="5">
        <v>1.6824109101776331E-2</v>
      </c>
      <c r="E611" s="5">
        <v>1.6244053148664249E-2</v>
      </c>
      <c r="F611" s="7">
        <v>4.4098459833956535E-2</v>
      </c>
      <c r="G611" s="7">
        <v>0.38151239669421494</v>
      </c>
      <c r="H611" s="7">
        <v>9.3638214337838765E-3</v>
      </c>
      <c r="I611" s="7">
        <v>0.19000067732822787</v>
      </c>
      <c r="J611" s="7">
        <v>1.6262826671148544E-2</v>
      </c>
      <c r="K611" s="8">
        <v>4.9699999999999994E-2</v>
      </c>
      <c r="L611" s="8">
        <v>6.2300000000000001E-2</v>
      </c>
      <c r="M611" s="8">
        <v>3.4099999999999998E-2</v>
      </c>
      <c r="N611" s="7">
        <v>1.2600000000000007E-2</v>
      </c>
      <c r="O611" s="7">
        <v>5.6999999999999967E-3</v>
      </c>
      <c r="P611" s="7">
        <v>-1.4999999999999999E-2</v>
      </c>
      <c r="Q611" s="7">
        <v>2.4813895781639062E-3</v>
      </c>
      <c r="R611" s="7">
        <v>-3.2605000000000002E-2</v>
      </c>
      <c r="S611" s="7">
        <v>4.1999999999999997E-3</v>
      </c>
    </row>
    <row r="612" spans="1:19" x14ac:dyDescent="0.3">
      <c r="A612" s="3">
        <v>199711</v>
      </c>
      <c r="B612" s="6">
        <f t="shared" si="18"/>
        <v>4.1387787213519815E-2</v>
      </c>
      <c r="C612" s="4">
        <f t="shared" si="19"/>
        <v>4.2421E-2</v>
      </c>
      <c r="D612" s="5">
        <v>1.6163212616007259E-2</v>
      </c>
      <c r="E612" s="5">
        <v>1.6883878915105E-2</v>
      </c>
      <c r="F612" s="7">
        <v>4.1895192240597304E-2</v>
      </c>
      <c r="G612" s="7">
        <v>0.38580113257828119</v>
      </c>
      <c r="H612" s="7">
        <v>2.6621100032988357E-3</v>
      </c>
      <c r="I612" s="7">
        <v>0.18074629876792264</v>
      </c>
      <c r="J612" s="7">
        <v>1.566720846387298E-2</v>
      </c>
      <c r="K612" s="8">
        <v>5.1399999999999994E-2</v>
      </c>
      <c r="L612" s="8">
        <v>6.1400000000000003E-2</v>
      </c>
      <c r="M612" s="8">
        <v>1.4800000000000001E-2</v>
      </c>
      <c r="N612" s="7">
        <v>1.0000000000000009E-2</v>
      </c>
      <c r="O612" s="7">
        <v>5.5000000000000049E-3</v>
      </c>
      <c r="P612" s="7">
        <v>-4.7000000000000011E-3</v>
      </c>
      <c r="Q612" s="7">
        <v>-6.1881188118806385E-4</v>
      </c>
      <c r="R612" s="7">
        <v>4.6321000000000001E-2</v>
      </c>
      <c r="S612" s="7">
        <v>3.9000000000000003E-3</v>
      </c>
    </row>
    <row r="613" spans="1:19" x14ac:dyDescent="0.3">
      <c r="A613" s="3">
        <v>199712</v>
      </c>
      <c r="B613" s="6">
        <f t="shared" si="18"/>
        <v>1.2213132662187109E-2</v>
      </c>
      <c r="C613" s="4">
        <f t="shared" si="19"/>
        <v>1.2347E-2</v>
      </c>
      <c r="D613" s="5">
        <v>1.5969209525674186E-2</v>
      </c>
      <c r="E613" s="5">
        <v>1.6220431232991418E-2</v>
      </c>
      <c r="F613" s="7">
        <v>4.0930309244355596E-2</v>
      </c>
      <c r="G613" s="7">
        <v>0.39015609264853979</v>
      </c>
      <c r="H613" s="7">
        <v>2.2493744246461114E-3</v>
      </c>
      <c r="I613" s="7">
        <v>0.17880088420405879</v>
      </c>
      <c r="J613" s="7">
        <v>1.5559471547242971E-2</v>
      </c>
      <c r="K613" s="8">
        <v>5.16E-2</v>
      </c>
      <c r="L613" s="8">
        <v>6.0199999999999997E-2</v>
      </c>
      <c r="M613" s="8">
        <v>1.84E-2</v>
      </c>
      <c r="N613" s="7">
        <v>8.5999999999999965E-3</v>
      </c>
      <c r="O613" s="7">
        <v>5.6000000000000077E-3</v>
      </c>
      <c r="P613" s="7">
        <v>-2.1000000000000012E-3</v>
      </c>
      <c r="Q613" s="7">
        <v>-1.2383900928791824E-3</v>
      </c>
      <c r="R613" s="7">
        <v>1.7146999999999999E-2</v>
      </c>
      <c r="S613" s="7">
        <v>4.7999999999999996E-3</v>
      </c>
    </row>
    <row r="614" spans="1:19" x14ac:dyDescent="0.3">
      <c r="A614" s="3">
        <v>199801</v>
      </c>
      <c r="B614" s="6">
        <f t="shared" si="18"/>
        <v>7.6318605767869523E-3</v>
      </c>
      <c r="C614" s="4">
        <f t="shared" si="19"/>
        <v>7.6939999999999995E-3</v>
      </c>
      <c r="D614" s="5">
        <v>1.5857714122495616E-2</v>
      </c>
      <c r="E614" s="5">
        <v>1.6018672135032927E-2</v>
      </c>
      <c r="F614" s="7">
        <v>4.0457828375566163E-2</v>
      </c>
      <c r="G614" s="7">
        <v>0.39195663136661629</v>
      </c>
      <c r="H614" s="7">
        <v>2.4688425372982646E-3</v>
      </c>
      <c r="I614" s="7">
        <v>0.17884027344671738</v>
      </c>
      <c r="J614" s="7">
        <v>1.3739635720347903E-2</v>
      </c>
      <c r="K614" s="8">
        <v>5.04E-2</v>
      </c>
      <c r="L614" s="8">
        <v>5.8900000000000001E-2</v>
      </c>
      <c r="M614" s="8">
        <v>0.02</v>
      </c>
      <c r="N614" s="7">
        <v>8.5000000000000006E-3</v>
      </c>
      <c r="O614" s="7">
        <v>5.7999999999999996E-3</v>
      </c>
      <c r="P614" s="7">
        <v>-6.3E-3</v>
      </c>
      <c r="Q614" s="7">
        <v>1.8598884066955979E-3</v>
      </c>
      <c r="R614" s="7">
        <v>1.1993999999999999E-2</v>
      </c>
      <c r="S614" s="7">
        <v>4.3E-3</v>
      </c>
    </row>
    <row r="615" spans="1:19" x14ac:dyDescent="0.3">
      <c r="A615" s="3">
        <v>199802</v>
      </c>
      <c r="B615" s="6">
        <f t="shared" si="18"/>
        <v>6.559260231478703E-2</v>
      </c>
      <c r="C615" s="4">
        <f t="shared" si="19"/>
        <v>6.8056000000000005E-2</v>
      </c>
      <c r="D615" s="5">
        <v>1.4859816646654089E-2</v>
      </c>
      <c r="E615" s="5">
        <v>1.5906679724160447E-2</v>
      </c>
      <c r="F615" s="7">
        <v>3.7738006747098179E-2</v>
      </c>
      <c r="G615" s="7">
        <v>0.39376262626262631</v>
      </c>
      <c r="H615" s="7">
        <v>1.0533477132539612E-3</v>
      </c>
      <c r="I615" s="7">
        <v>0.16546309710866489</v>
      </c>
      <c r="J615" s="7">
        <v>1.2056377984405489E-2</v>
      </c>
      <c r="K615" s="8">
        <v>5.0900000000000001E-2</v>
      </c>
      <c r="L615" s="8">
        <v>5.9900000000000002E-2</v>
      </c>
      <c r="M615" s="8">
        <v>-7.1999999999999998E-3</v>
      </c>
      <c r="N615" s="7">
        <v>9.0000000000000011E-3</v>
      </c>
      <c r="O615" s="7">
        <v>5.7999999999999996E-3</v>
      </c>
      <c r="P615" s="7">
        <v>6.4999999999999997E-3</v>
      </c>
      <c r="Q615" s="7">
        <v>1.8564356435644136E-3</v>
      </c>
      <c r="R615" s="7">
        <v>7.1956000000000006E-2</v>
      </c>
      <c r="S615" s="7">
        <v>3.9000000000000003E-3</v>
      </c>
    </row>
    <row r="616" spans="1:19" x14ac:dyDescent="0.3">
      <c r="A616" s="3">
        <v>199803</v>
      </c>
      <c r="B616" s="6">
        <f t="shared" si="18"/>
        <v>4.6169321615812352E-2</v>
      </c>
      <c r="C616" s="4">
        <f t="shared" si="19"/>
        <v>4.7435999999999999E-2</v>
      </c>
      <c r="D616" s="5">
        <v>1.419650555933742E-2</v>
      </c>
      <c r="E616" s="5">
        <v>1.4905559685135421E-2</v>
      </c>
      <c r="F616" s="7">
        <v>3.5888359428182436E-2</v>
      </c>
      <c r="G616" s="7">
        <v>0.39557410217501271</v>
      </c>
      <c r="H616" s="7">
        <v>1.1367857598752061E-3</v>
      </c>
      <c r="I616" s="7">
        <v>0.18114039596566681</v>
      </c>
      <c r="J616" s="7">
        <v>1.6488861614738583E-2</v>
      </c>
      <c r="K616" s="8">
        <v>5.0300000000000004E-2</v>
      </c>
      <c r="L616" s="8">
        <v>6.0199999999999997E-2</v>
      </c>
      <c r="M616" s="8">
        <v>2.5000000000000001E-3</v>
      </c>
      <c r="N616" s="7">
        <v>9.8999999999999921E-3</v>
      </c>
      <c r="O616" s="7">
        <v>6.0000000000000053E-3</v>
      </c>
      <c r="P616" s="7">
        <v>1.2999999999999999E-3</v>
      </c>
      <c r="Q616" s="7">
        <v>1.8529956763433386E-3</v>
      </c>
      <c r="R616" s="7">
        <v>5.1336E-2</v>
      </c>
      <c r="S616" s="7">
        <v>3.9000000000000003E-3</v>
      </c>
    </row>
    <row r="617" spans="1:19" x14ac:dyDescent="0.3">
      <c r="A617" s="3">
        <v>199804</v>
      </c>
      <c r="B617" s="6">
        <f t="shared" si="18"/>
        <v>6.9211295466902554E-3</v>
      </c>
      <c r="C617" s="4">
        <f t="shared" si="19"/>
        <v>6.9750000000000003E-3</v>
      </c>
      <c r="D617" s="5">
        <v>1.4161457162131776E-2</v>
      </c>
      <c r="E617" s="5">
        <v>1.4289993192648062E-2</v>
      </c>
      <c r="F617" s="7">
        <v>3.5394648077355519E-2</v>
      </c>
      <c r="G617" s="7">
        <v>0.40010165184243968</v>
      </c>
      <c r="H617" s="7">
        <v>1.6147640342177765E-3</v>
      </c>
      <c r="I617" s="7">
        <v>0.17587292223931028</v>
      </c>
      <c r="J617" s="7">
        <v>1.640536182478828E-2</v>
      </c>
      <c r="K617" s="8">
        <v>4.9500000000000002E-2</v>
      </c>
      <c r="L617" s="8">
        <v>6.0400000000000002E-2</v>
      </c>
      <c r="M617" s="8">
        <v>2.5999999999999999E-3</v>
      </c>
      <c r="N617" s="7">
        <v>1.09E-2</v>
      </c>
      <c r="O617" s="7">
        <v>6.4000000000000029E-3</v>
      </c>
      <c r="P617" s="7">
        <v>2.7000000000000001E-3</v>
      </c>
      <c r="Q617" s="7">
        <v>1.8495684340320562E-3</v>
      </c>
      <c r="R617" s="7">
        <v>1.1275E-2</v>
      </c>
      <c r="S617" s="7">
        <v>4.3E-3</v>
      </c>
    </row>
    <row r="618" spans="1:19" x14ac:dyDescent="0.3">
      <c r="A618" s="3">
        <v>199805</v>
      </c>
      <c r="B618" s="6">
        <f t="shared" si="18"/>
        <v>-2.1824071428820972E-2</v>
      </c>
      <c r="C618" s="4">
        <f t="shared" si="19"/>
        <v>-2.1673999999999999E-2</v>
      </c>
      <c r="D618" s="5">
        <v>1.4527603087585488E-2</v>
      </c>
      <c r="E618" s="5">
        <v>1.42541038902631E-2</v>
      </c>
      <c r="F618" s="7">
        <v>3.5899598467208152E-2</v>
      </c>
      <c r="G618" s="7">
        <v>0.4046731358529112</v>
      </c>
      <c r="H618" s="7">
        <v>9.5882329377390302E-4</v>
      </c>
      <c r="I618" s="7">
        <v>0.17910220571493346</v>
      </c>
      <c r="J618" s="7">
        <v>1.9075205818459871E-2</v>
      </c>
      <c r="K618" s="8">
        <v>0.05</v>
      </c>
      <c r="L618" s="8">
        <v>5.9200000000000003E-2</v>
      </c>
      <c r="M618" s="8">
        <v>1.8200000000000001E-2</v>
      </c>
      <c r="N618" s="7">
        <v>9.1999999999999998E-3</v>
      </c>
      <c r="O618" s="7">
        <v>6.0999999999999943E-3</v>
      </c>
      <c r="P618" s="7">
        <v>-1.5000000000000013E-3</v>
      </c>
      <c r="Q618" s="7">
        <v>1.8461538461538307E-3</v>
      </c>
      <c r="R618" s="7">
        <v>-1.7673999999999999E-2</v>
      </c>
      <c r="S618" s="7">
        <v>4.0000000000000001E-3</v>
      </c>
    </row>
    <row r="619" spans="1:19" x14ac:dyDescent="0.3">
      <c r="A619" s="3">
        <v>199806</v>
      </c>
      <c r="B619" s="6">
        <f t="shared" si="18"/>
        <v>3.6061352870514859E-2</v>
      </c>
      <c r="C619" s="4">
        <f t="shared" si="19"/>
        <v>3.687E-2</v>
      </c>
      <c r="D619" s="5">
        <v>1.4067240527764058E-2</v>
      </c>
      <c r="E619" s="5">
        <v>1.4622027465576356E-2</v>
      </c>
      <c r="F619" s="7">
        <v>3.4369928737740779E-2</v>
      </c>
      <c r="G619" s="7">
        <v>0.40928919681806519</v>
      </c>
      <c r="H619" s="7">
        <v>2.0973438884585405E-3</v>
      </c>
      <c r="I619" s="7">
        <v>0.17806060597750975</v>
      </c>
      <c r="J619" s="7">
        <v>2.4010580033164464E-2</v>
      </c>
      <c r="K619" s="8">
        <v>4.9800000000000004E-2</v>
      </c>
      <c r="L619" s="8">
        <v>5.7599999999999998E-2</v>
      </c>
      <c r="M619" s="8">
        <v>2.2800000000000001E-2</v>
      </c>
      <c r="N619" s="7">
        <v>7.7999999999999944E-3</v>
      </c>
      <c r="O619" s="7">
        <v>6.0000000000000053E-3</v>
      </c>
      <c r="P619" s="7">
        <v>-1.1300000000000001E-2</v>
      </c>
      <c r="Q619" s="7">
        <v>1.2285012285011554E-3</v>
      </c>
      <c r="R619" s="7">
        <v>4.0969999999999999E-2</v>
      </c>
      <c r="S619" s="7">
        <v>4.0999999999999995E-3</v>
      </c>
    </row>
    <row r="620" spans="1:19" x14ac:dyDescent="0.3">
      <c r="A620" s="3">
        <v>199807</v>
      </c>
      <c r="B620" s="6">
        <f t="shared" si="18"/>
        <v>-1.4152464194701082E-2</v>
      </c>
      <c r="C620" s="4">
        <f t="shared" si="19"/>
        <v>-1.4109E-2</v>
      </c>
      <c r="D620" s="5">
        <v>1.4289963444487077E-2</v>
      </c>
      <c r="E620" s="5">
        <v>1.4123979867823797E-2</v>
      </c>
      <c r="F620" s="7">
        <v>3.4512092468493544E-2</v>
      </c>
      <c r="G620" s="7">
        <v>0.41405670947168838</v>
      </c>
      <c r="H620" s="7">
        <v>2.2281757694638561E-3</v>
      </c>
      <c r="I620" s="7">
        <v>0.17943810888819886</v>
      </c>
      <c r="J620" s="7">
        <v>2.5353564659473447E-2</v>
      </c>
      <c r="K620" s="8">
        <v>4.9599999999999998E-2</v>
      </c>
      <c r="L620" s="8">
        <v>5.8400000000000001E-2</v>
      </c>
      <c r="M620" s="8">
        <v>-4.0000000000000001E-3</v>
      </c>
      <c r="N620" s="7">
        <v>8.8000000000000023E-3</v>
      </c>
      <c r="O620" s="7">
        <v>6.0000000000000053E-3</v>
      </c>
      <c r="P620" s="7">
        <v>-1.5999999999999999E-3</v>
      </c>
      <c r="Q620" s="7">
        <v>1.2269938650306678E-3</v>
      </c>
      <c r="R620" s="7">
        <v>-1.0109E-2</v>
      </c>
      <c r="S620" s="7">
        <v>4.0000000000000001E-3</v>
      </c>
    </row>
    <row r="621" spans="1:19" x14ac:dyDescent="0.3">
      <c r="A621" s="3">
        <v>199808</v>
      </c>
      <c r="B621" s="6">
        <f t="shared" si="18"/>
        <v>-0.15875284305203152</v>
      </c>
      <c r="C621" s="4">
        <f t="shared" si="19"/>
        <v>-0.147424</v>
      </c>
      <c r="D621" s="5">
        <v>1.6796200345423146E-2</v>
      </c>
      <c r="E621" s="5">
        <v>1.4347369579507496E-2</v>
      </c>
      <c r="F621" s="7">
        <v>4.0096244916151318E-2</v>
      </c>
      <c r="G621" s="7">
        <v>0.41889709075119408</v>
      </c>
      <c r="H621" s="7">
        <v>9.333916970024201E-3</v>
      </c>
      <c r="I621" s="7">
        <v>0.21143209159591356</v>
      </c>
      <c r="J621" s="7">
        <v>2.8519028008023799E-2</v>
      </c>
      <c r="K621" s="8">
        <v>4.9000000000000002E-2</v>
      </c>
      <c r="L621" s="8">
        <v>5.4699999999999999E-2</v>
      </c>
      <c r="M621" s="8">
        <v>4.65E-2</v>
      </c>
      <c r="N621" s="7">
        <v>5.6999999999999967E-3</v>
      </c>
      <c r="O621" s="7">
        <v>6.1999999999999972E-3</v>
      </c>
      <c r="P621" s="7">
        <v>-3.7600000000000001E-2</v>
      </c>
      <c r="Q621" s="7">
        <v>1.225490196078427E-3</v>
      </c>
      <c r="R621" s="7">
        <v>-0.143124</v>
      </c>
      <c r="S621" s="7">
        <v>4.3E-3</v>
      </c>
    </row>
    <row r="622" spans="1:19" x14ac:dyDescent="0.3">
      <c r="A622" s="3">
        <v>199809</v>
      </c>
      <c r="B622" s="6">
        <f t="shared" si="18"/>
        <v>5.6671202464877848E-2</v>
      </c>
      <c r="C622" s="4">
        <f t="shared" si="19"/>
        <v>5.8575999999999996E-2</v>
      </c>
      <c r="D622" s="5">
        <v>1.5873000265484116E-2</v>
      </c>
      <c r="E622" s="5">
        <v>1.6863404646498412E-2</v>
      </c>
      <c r="F622" s="7">
        <v>3.7452925733276958E-2</v>
      </c>
      <c r="G622" s="7">
        <v>0.42381202415332114</v>
      </c>
      <c r="H622" s="7">
        <v>9.9710168802412853E-3</v>
      </c>
      <c r="I622" s="7">
        <v>0.20324840423225912</v>
      </c>
      <c r="J622" s="7">
        <v>2.4082910029888101E-2</v>
      </c>
      <c r="K622" s="8">
        <v>4.6100000000000002E-2</v>
      </c>
      <c r="L622" s="8">
        <v>5.1700000000000003E-2</v>
      </c>
      <c r="M622" s="8">
        <v>3.95E-2</v>
      </c>
      <c r="N622" s="7">
        <v>5.6000000000000008E-3</v>
      </c>
      <c r="O622" s="7">
        <v>6.9000000000000034E-3</v>
      </c>
      <c r="P622" s="7">
        <v>1.800000000000003E-3</v>
      </c>
      <c r="Q622" s="7">
        <v>1.2239902080781739E-3</v>
      </c>
      <c r="R622" s="7">
        <v>6.3175999999999996E-2</v>
      </c>
      <c r="S622" s="7">
        <v>4.5999999999999999E-3</v>
      </c>
    </row>
    <row r="623" spans="1:19" x14ac:dyDescent="0.3">
      <c r="A623" s="3">
        <v>199810</v>
      </c>
      <c r="B623" s="6">
        <f t="shared" si="18"/>
        <v>7.386892273611291E-2</v>
      </c>
      <c r="C623" s="4">
        <f t="shared" si="19"/>
        <v>7.6911000000000007E-2</v>
      </c>
      <c r="D623" s="5">
        <v>1.4708996635325742E-2</v>
      </c>
      <c r="E623" s="5">
        <v>1.5890043690163651E-2</v>
      </c>
      <c r="F623" s="7">
        <v>3.4553900018507222E-2</v>
      </c>
      <c r="G623" s="7">
        <v>0.42568267626657302</v>
      </c>
      <c r="H623" s="7">
        <v>5.1715274881868863E-3</v>
      </c>
      <c r="I623" s="7">
        <v>0.18551907684869381</v>
      </c>
      <c r="J623" s="7">
        <v>2.0740088251160596E-2</v>
      </c>
      <c r="K623" s="8">
        <v>3.9599999999999996E-2</v>
      </c>
      <c r="L623" s="8">
        <v>5.3999999999999999E-2</v>
      </c>
      <c r="M623" s="8">
        <v>-2.18E-2</v>
      </c>
      <c r="N623" s="7">
        <v>1.4400000000000003E-2</v>
      </c>
      <c r="O623" s="7">
        <v>8.0999999999999961E-3</v>
      </c>
      <c r="P623" s="7">
        <v>2.8000000000000004E-3</v>
      </c>
      <c r="Q623" s="7">
        <v>2.4449877750611915E-3</v>
      </c>
      <c r="R623" s="7">
        <v>8.0111000000000002E-2</v>
      </c>
      <c r="S623" s="7">
        <v>3.2000000000000002E-3</v>
      </c>
    </row>
    <row r="624" spans="1:19" x14ac:dyDescent="0.3">
      <c r="A624" s="3">
        <v>199811</v>
      </c>
      <c r="B624" s="6">
        <f t="shared" si="18"/>
        <v>5.7213131602089976E-2</v>
      </c>
      <c r="C624" s="4">
        <f t="shared" si="19"/>
        <v>5.9063999999999998E-2</v>
      </c>
      <c r="D624" s="5">
        <v>1.3902758322376241E-2</v>
      </c>
      <c r="E624" s="5">
        <v>1.4724773286488815E-2</v>
      </c>
      <c r="F624" s="7">
        <v>3.2516063238887498E-2</v>
      </c>
      <c r="G624" s="7">
        <v>0.42756585322879043</v>
      </c>
      <c r="H624" s="7">
        <v>1.9366789374442367E-3</v>
      </c>
      <c r="I624" s="7">
        <v>0.17484684447515783</v>
      </c>
      <c r="J624" s="7">
        <v>2.2003580723154111E-2</v>
      </c>
      <c r="K624" s="8">
        <v>4.41E-2</v>
      </c>
      <c r="L624" s="8">
        <v>5.3499999999999999E-2</v>
      </c>
      <c r="M624" s="8">
        <v>9.7000000000000003E-3</v>
      </c>
      <c r="N624" s="7">
        <v>9.3999999999999986E-3</v>
      </c>
      <c r="O624" s="7">
        <v>9.2999999999999888E-3</v>
      </c>
      <c r="P624" s="7">
        <v>1.7299999999999999E-2</v>
      </c>
      <c r="Q624" s="7">
        <v>0</v>
      </c>
      <c r="R624" s="7">
        <v>6.2163999999999997E-2</v>
      </c>
      <c r="S624" s="7">
        <v>3.0999999999999999E-3</v>
      </c>
    </row>
    <row r="625" spans="1:19" x14ac:dyDescent="0.3">
      <c r="A625" s="3">
        <v>199812</v>
      </c>
      <c r="B625" s="6">
        <f t="shared" si="18"/>
        <v>5.4167571726238942E-2</v>
      </c>
      <c r="C625" s="4">
        <f t="shared" si="19"/>
        <v>5.5872999999999999E-2</v>
      </c>
      <c r="D625" s="5">
        <v>1.3174914377293102E-2</v>
      </c>
      <c r="E625" s="5">
        <v>1.3917654237171609E-2</v>
      </c>
      <c r="F625" s="7">
        <v>3.0677741350276188E-2</v>
      </c>
      <c r="G625" s="7">
        <v>0.4294616812516574</v>
      </c>
      <c r="H625" s="7">
        <v>3.2868971994435238E-3</v>
      </c>
      <c r="I625" s="7">
        <v>0.17361131536550134</v>
      </c>
      <c r="J625" s="7">
        <v>2.0057030440960393E-2</v>
      </c>
      <c r="K625" s="8">
        <v>4.3899999999999995E-2</v>
      </c>
      <c r="L625" s="8">
        <v>5.4199999999999998E-2</v>
      </c>
      <c r="M625" s="8">
        <v>-3.2000000000000002E-3</v>
      </c>
      <c r="N625" s="7">
        <v>1.0300000000000004E-2</v>
      </c>
      <c r="O625" s="7">
        <v>1.0100000000000005E-2</v>
      </c>
      <c r="P625" s="7">
        <v>4.2000000000000006E-3</v>
      </c>
      <c r="Q625" s="7">
        <v>-6.0975609756097615E-4</v>
      </c>
      <c r="R625" s="7">
        <v>5.9672999999999997E-2</v>
      </c>
      <c r="S625" s="7">
        <v>3.8E-3</v>
      </c>
    </row>
    <row r="626" spans="1:19" x14ac:dyDescent="0.3">
      <c r="A626" s="3">
        <v>199901</v>
      </c>
      <c r="B626" s="6">
        <f t="shared" si="18"/>
        <v>3.8415513822953724E-2</v>
      </c>
      <c r="C626" s="4">
        <f t="shared" si="19"/>
        <v>3.9300000000000002E-2</v>
      </c>
      <c r="D626" s="5">
        <v>1.2722067664864075E-2</v>
      </c>
      <c r="E626" s="5">
        <v>1.3243792184267116E-2</v>
      </c>
      <c r="F626" s="7">
        <v>2.9643753972471425E-2</v>
      </c>
      <c r="G626" s="7">
        <v>0.42916520210896308</v>
      </c>
      <c r="H626" s="7">
        <v>3.3356136050409204E-3</v>
      </c>
      <c r="I626" s="7">
        <v>0.17032061914447988</v>
      </c>
      <c r="J626" s="7">
        <v>1.5587699230164729E-2</v>
      </c>
      <c r="K626" s="8">
        <v>4.3400000000000001E-2</v>
      </c>
      <c r="L626" s="8">
        <v>5.3600000000000002E-2</v>
      </c>
      <c r="M626" s="8">
        <v>1.21E-2</v>
      </c>
      <c r="N626" s="7">
        <v>1.0200000000000001E-2</v>
      </c>
      <c r="O626" s="7">
        <v>1.0500000000000002E-2</v>
      </c>
      <c r="P626" s="7">
        <v>2.0000000000000052E-4</v>
      </c>
      <c r="Q626" s="7">
        <v>2.4405125076265577E-3</v>
      </c>
      <c r="R626" s="7">
        <v>4.2799999999999998E-2</v>
      </c>
      <c r="S626" s="7">
        <v>3.4999999999999996E-3</v>
      </c>
    </row>
    <row r="627" spans="1:19" x14ac:dyDescent="0.3">
      <c r="A627" s="3">
        <v>199902</v>
      </c>
      <c r="B627" s="6">
        <f t="shared" si="18"/>
        <v>-3.594993445386243E-2</v>
      </c>
      <c r="C627" s="4">
        <f t="shared" si="19"/>
        <v>-3.5434999999999994E-2</v>
      </c>
      <c r="D627" s="5">
        <v>1.3214840416797893E-2</v>
      </c>
      <c r="E627" s="5">
        <v>1.2788232106946745E-2</v>
      </c>
      <c r="F627" s="7">
        <v>3.0813003534329839E-2</v>
      </c>
      <c r="G627" s="7">
        <v>0.42887219358783962</v>
      </c>
      <c r="H627" s="7">
        <v>3.4821497406085449E-3</v>
      </c>
      <c r="I627" s="7">
        <v>0.17127680959595618</v>
      </c>
      <c r="J627" s="7">
        <v>1.8446664970410285E-2</v>
      </c>
      <c r="K627" s="8">
        <v>4.4400000000000002E-2</v>
      </c>
      <c r="L627" s="8">
        <v>5.8700000000000002E-2</v>
      </c>
      <c r="M627" s="8">
        <v>-5.1999999999999998E-2</v>
      </c>
      <c r="N627" s="7">
        <v>1.43E-2</v>
      </c>
      <c r="O627" s="7">
        <v>9.8999999999999921E-3</v>
      </c>
      <c r="P627" s="7">
        <v>1.1900000000000001E-2</v>
      </c>
      <c r="Q627" s="7">
        <v>1.2172854534386879E-3</v>
      </c>
      <c r="R627" s="7">
        <v>-3.1934999999999998E-2</v>
      </c>
      <c r="S627" s="7">
        <v>3.4999999999999996E-3</v>
      </c>
    </row>
    <row r="628" spans="1:19" x14ac:dyDescent="0.3">
      <c r="A628" s="3">
        <v>199903</v>
      </c>
      <c r="B628" s="6">
        <f t="shared" si="18"/>
        <v>3.3947718753614506E-2</v>
      </c>
      <c r="C628" s="4">
        <f t="shared" si="19"/>
        <v>3.4679000000000001E-2</v>
      </c>
      <c r="D628" s="5">
        <v>1.2787145222603139E-2</v>
      </c>
      <c r="E628" s="5">
        <v>1.3283212067865592E-2</v>
      </c>
      <c r="F628" s="7">
        <v>2.9835894804760687E-2</v>
      </c>
      <c r="G628" s="7">
        <v>0.42858259510161534</v>
      </c>
      <c r="H628" s="7">
        <v>3.2135873296863368E-3</v>
      </c>
      <c r="I628" s="7">
        <v>0.17289717073498748</v>
      </c>
      <c r="J628" s="7">
        <v>2.0668119516674698E-2</v>
      </c>
      <c r="K628" s="8">
        <v>4.4400000000000002E-2</v>
      </c>
      <c r="L628" s="8">
        <v>5.9200000000000003E-2</v>
      </c>
      <c r="M628" s="8">
        <v>-8.0000000000000004E-4</v>
      </c>
      <c r="N628" s="7">
        <v>1.4800000000000001E-2</v>
      </c>
      <c r="O628" s="7">
        <v>9.1000000000000109E-3</v>
      </c>
      <c r="P628" s="7">
        <v>1E-3</v>
      </c>
      <c r="Q628" s="7">
        <v>3.0395136778116338E-3</v>
      </c>
      <c r="R628" s="7">
        <v>3.8979E-2</v>
      </c>
      <c r="S628" s="7">
        <v>4.3E-3</v>
      </c>
    </row>
    <row r="629" spans="1:19" x14ac:dyDescent="0.3">
      <c r="A629" s="3">
        <v>199904</v>
      </c>
      <c r="B629" s="6">
        <f t="shared" si="18"/>
        <v>3.3177667138084857E-2</v>
      </c>
      <c r="C629" s="4">
        <f t="shared" si="19"/>
        <v>3.3859E-2</v>
      </c>
      <c r="D629" s="5">
        <v>1.231943757895315E-2</v>
      </c>
      <c r="E629" s="5">
        <v>1.2786886095498705E-2</v>
      </c>
      <c r="F629" s="7">
        <v>2.9404275079015565E-2</v>
      </c>
      <c r="G629" s="7">
        <v>0.41896756664968582</v>
      </c>
      <c r="H629" s="7">
        <v>2.7266259983553458E-3</v>
      </c>
      <c r="I629" s="7">
        <v>0.15682587641256804</v>
      </c>
      <c r="J629" s="7">
        <v>2.518126732572391E-2</v>
      </c>
      <c r="K629" s="8">
        <v>4.2900000000000001E-2</v>
      </c>
      <c r="L629" s="8">
        <v>5.9400000000000001E-2</v>
      </c>
      <c r="M629" s="8">
        <v>2.0999999999999999E-3</v>
      </c>
      <c r="N629" s="7">
        <v>1.6500000000000001E-2</v>
      </c>
      <c r="O629" s="7">
        <v>8.4000000000000047E-3</v>
      </c>
      <c r="P629" s="7">
        <v>-4.4999999999999997E-3</v>
      </c>
      <c r="Q629" s="7">
        <v>7.2727272727270975E-3</v>
      </c>
      <c r="R629" s="7">
        <v>3.7559000000000002E-2</v>
      </c>
      <c r="S629" s="7">
        <v>3.7000000000000002E-3</v>
      </c>
    </row>
    <row r="630" spans="1:19" x14ac:dyDescent="0.3">
      <c r="A630" s="3">
        <v>199905</v>
      </c>
      <c r="B630" s="6">
        <f t="shared" si="18"/>
        <v>-2.6825616342558953E-2</v>
      </c>
      <c r="C630" s="4">
        <f t="shared" si="19"/>
        <v>-2.6558999999999999E-2</v>
      </c>
      <c r="D630" s="5">
        <v>1.2634681169216904E-2</v>
      </c>
      <c r="E630" s="5">
        <v>1.2319187924724258E-2</v>
      </c>
      <c r="F630" s="7">
        <v>3.0833282123763291E-2</v>
      </c>
      <c r="G630" s="7">
        <v>0.40977412389968443</v>
      </c>
      <c r="H630" s="7">
        <v>3.0856487086141069E-3</v>
      </c>
      <c r="I630" s="7">
        <v>0.16023113542046816</v>
      </c>
      <c r="J630" s="7">
        <v>2.5897438079472975E-2</v>
      </c>
      <c r="K630" s="8">
        <v>4.4999999999999998E-2</v>
      </c>
      <c r="L630" s="8">
        <v>6.1499999999999999E-2</v>
      </c>
      <c r="M630" s="8">
        <v>-1.8499999999999999E-2</v>
      </c>
      <c r="N630" s="7">
        <v>1.6500000000000001E-2</v>
      </c>
      <c r="O630" s="7">
        <v>7.8999999999999904E-3</v>
      </c>
      <c r="P630" s="7">
        <v>8.9999999999999802E-4</v>
      </c>
      <c r="Q630" s="7">
        <v>0</v>
      </c>
      <c r="R630" s="7">
        <v>-2.3158999999999999E-2</v>
      </c>
      <c r="S630" s="7">
        <v>3.4000000000000002E-3</v>
      </c>
    </row>
    <row r="631" spans="1:19" x14ac:dyDescent="0.3">
      <c r="A631" s="3">
        <v>199906</v>
      </c>
      <c r="B631" s="6">
        <f t="shared" si="18"/>
        <v>4.9009263671359063E-2</v>
      </c>
      <c r="C631" s="4">
        <f t="shared" si="19"/>
        <v>5.0431000000000004E-2</v>
      </c>
      <c r="D631" s="5">
        <v>1.1982137523584733E-2</v>
      </c>
      <c r="E631" s="5">
        <v>1.2634425121366682E-2</v>
      </c>
      <c r="F631" s="7">
        <v>2.9882495210204633E-2</v>
      </c>
      <c r="G631" s="7">
        <v>0.4009751340809361</v>
      </c>
      <c r="H631" s="7">
        <v>2.4092464833671266E-3</v>
      </c>
      <c r="I631" s="7">
        <v>0.15422744676724118</v>
      </c>
      <c r="J631" s="7">
        <v>1.8868575896700421E-2</v>
      </c>
      <c r="K631" s="8">
        <v>4.5700000000000005E-2</v>
      </c>
      <c r="L631" s="8">
        <v>6.2700000000000006E-2</v>
      </c>
      <c r="M631" s="8">
        <v>-7.7999999999999996E-3</v>
      </c>
      <c r="N631" s="7">
        <v>1.7000000000000001E-2</v>
      </c>
      <c r="O631" s="7">
        <v>7.8999999999999904E-3</v>
      </c>
      <c r="P631" s="7">
        <v>-8.2000000000000007E-3</v>
      </c>
      <c r="Q631" s="7">
        <v>0</v>
      </c>
      <c r="R631" s="7">
        <v>5.4431E-2</v>
      </c>
      <c r="S631" s="7">
        <v>4.0000000000000001E-3</v>
      </c>
    </row>
    <row r="632" spans="1:19" x14ac:dyDescent="0.3">
      <c r="A632" s="3">
        <v>199907</v>
      </c>
      <c r="B632" s="6">
        <f t="shared" si="18"/>
        <v>-3.4478835571061045E-2</v>
      </c>
      <c r="C632" s="4">
        <f t="shared" si="19"/>
        <v>-3.4020000000000002E-2</v>
      </c>
      <c r="D632" s="5">
        <v>1.2427248279045499E-2</v>
      </c>
      <c r="E632" s="5">
        <v>1.2029003455451869E-2</v>
      </c>
      <c r="F632" s="7">
        <v>3.1609368414714914E-2</v>
      </c>
      <c r="G632" s="7">
        <v>0.3931507936507937</v>
      </c>
      <c r="H632" s="7">
        <v>1.6111778691826253E-3</v>
      </c>
      <c r="I632" s="7">
        <v>0.15879647268893993</v>
      </c>
      <c r="J632" s="7">
        <v>1.9370437363639605E-2</v>
      </c>
      <c r="K632" s="8">
        <v>4.5499999999999999E-2</v>
      </c>
      <c r="L632" s="8">
        <v>6.3899999999999998E-2</v>
      </c>
      <c r="M632" s="8">
        <v>-7.7000000000000002E-3</v>
      </c>
      <c r="N632" s="7">
        <v>1.84E-2</v>
      </c>
      <c r="O632" s="7">
        <v>7.5999999999999956E-3</v>
      </c>
      <c r="P632" s="7">
        <v>-3.599999999999999E-3</v>
      </c>
      <c r="Q632" s="7">
        <v>3.0084235860408093E-3</v>
      </c>
      <c r="R632" s="7">
        <v>-3.022E-2</v>
      </c>
      <c r="S632" s="7">
        <v>3.8E-3</v>
      </c>
    </row>
    <row r="633" spans="1:19" x14ac:dyDescent="0.3">
      <c r="A633" s="3">
        <v>199908</v>
      </c>
      <c r="B633" s="6">
        <f t="shared" si="18"/>
        <v>-8.9089766474712822E-3</v>
      </c>
      <c r="C633" s="4">
        <f t="shared" si="19"/>
        <v>-8.9040000000000005E-3</v>
      </c>
      <c r="D633" s="5">
        <v>1.255418140325101E-2</v>
      </c>
      <c r="E633" s="5">
        <v>1.2475665803680737E-2</v>
      </c>
      <c r="F633" s="7">
        <v>3.2550495679372314E-2</v>
      </c>
      <c r="G633" s="7">
        <v>0.38568326353342641</v>
      </c>
      <c r="H633" s="7">
        <v>2.729848515781925E-3</v>
      </c>
      <c r="I633" s="7">
        <v>0.15624302689310163</v>
      </c>
      <c r="J633" s="7">
        <v>1.8880736167784417E-2</v>
      </c>
      <c r="K633" s="8">
        <v>4.7199999999999999E-2</v>
      </c>
      <c r="L633" s="8">
        <v>6.4899999999999999E-2</v>
      </c>
      <c r="M633" s="8">
        <v>-5.3E-3</v>
      </c>
      <c r="N633" s="7">
        <v>1.77E-2</v>
      </c>
      <c r="O633" s="7">
        <v>7.4999999999999928E-3</v>
      </c>
      <c r="P633" s="7">
        <v>2.7000000000000001E-3</v>
      </c>
      <c r="Q633" s="7">
        <v>2.3995200959807672E-3</v>
      </c>
      <c r="R633" s="7">
        <v>-5.0039999999999998E-3</v>
      </c>
      <c r="S633" s="7">
        <v>3.9000000000000003E-3</v>
      </c>
    </row>
    <row r="634" spans="1:19" x14ac:dyDescent="0.3">
      <c r="A634" s="3">
        <v>199909</v>
      </c>
      <c r="B634" s="6">
        <f t="shared" si="18"/>
        <v>-3.237316826025672E-2</v>
      </c>
      <c r="C634" s="4">
        <f t="shared" si="19"/>
        <v>-3.1979E-2</v>
      </c>
      <c r="D634" s="5">
        <v>1.2973314311106954E-2</v>
      </c>
      <c r="E634" s="5">
        <v>1.2602903643565257E-2</v>
      </c>
      <c r="F634" s="7">
        <v>3.4271191461826916E-2</v>
      </c>
      <c r="G634" s="7">
        <v>0.37854868061874436</v>
      </c>
      <c r="H634" s="7">
        <v>2.7049431848818937E-3</v>
      </c>
      <c r="I634" s="7">
        <v>0.16368449822911238</v>
      </c>
      <c r="J634" s="7">
        <v>2.0379681664260366E-2</v>
      </c>
      <c r="K634" s="8">
        <v>4.6799999999999994E-2</v>
      </c>
      <c r="L634" s="8">
        <v>6.4600000000000005E-2</v>
      </c>
      <c r="M634" s="8">
        <v>8.3999999999999995E-3</v>
      </c>
      <c r="N634" s="7">
        <v>1.780000000000001E-2</v>
      </c>
      <c r="O634" s="7">
        <v>8.0999999999999961E-3</v>
      </c>
      <c r="P634" s="7">
        <v>8.9999999999999976E-4</v>
      </c>
      <c r="Q634" s="7">
        <v>4.7875523638540862E-3</v>
      </c>
      <c r="R634" s="7">
        <v>-2.8079E-2</v>
      </c>
      <c r="S634" s="7">
        <v>3.9000000000000003E-3</v>
      </c>
    </row>
    <row r="635" spans="1:19" x14ac:dyDescent="0.3">
      <c r="A635" s="3">
        <v>199910</v>
      </c>
      <c r="B635" s="6">
        <f t="shared" si="18"/>
        <v>5.8366635401052129E-2</v>
      </c>
      <c r="C635" s="4">
        <f t="shared" si="19"/>
        <v>6.0338000000000003E-2</v>
      </c>
      <c r="D635" s="5">
        <v>1.2222197765108994E-2</v>
      </c>
      <c r="E635" s="5">
        <v>1.298656750161767E-2</v>
      </c>
      <c r="F635" s="7">
        <v>3.3283685393478264E-2</v>
      </c>
      <c r="G635" s="7">
        <v>0.36721287383349255</v>
      </c>
      <c r="H635" s="7">
        <v>4.8759751302725777E-3</v>
      </c>
      <c r="I635" s="7">
        <v>0.15769066072892163</v>
      </c>
      <c r="J635" s="7">
        <v>2.0445233069041564E-2</v>
      </c>
      <c r="K635" s="8">
        <v>4.8600000000000004E-2</v>
      </c>
      <c r="L635" s="8">
        <v>6.5100000000000005E-2</v>
      </c>
      <c r="M635" s="8">
        <v>-1.1999999999999999E-3</v>
      </c>
      <c r="N635" s="7">
        <v>1.6500000000000001E-2</v>
      </c>
      <c r="O635" s="7">
        <v>8.3000000000000157E-3</v>
      </c>
      <c r="P635" s="7">
        <v>5.8999999999999999E-3</v>
      </c>
      <c r="Q635" s="7">
        <v>1.7867778439546456E-3</v>
      </c>
      <c r="R635" s="7">
        <v>6.4238000000000003E-2</v>
      </c>
      <c r="S635" s="7">
        <v>3.9000000000000003E-3</v>
      </c>
    </row>
    <row r="636" spans="1:19" x14ac:dyDescent="0.3">
      <c r="A636" s="3">
        <v>199911</v>
      </c>
      <c r="B636" s="6">
        <f t="shared" si="18"/>
        <v>1.7014649590160923E-2</v>
      </c>
      <c r="C636" s="4">
        <f t="shared" si="19"/>
        <v>1.7222000000000001E-2</v>
      </c>
      <c r="D636" s="5">
        <v>1.2005817511573823E-2</v>
      </c>
      <c r="E636" s="5">
        <v>1.2234670892855832E-2</v>
      </c>
      <c r="F636" s="7">
        <v>3.3671488193379465E-2</v>
      </c>
      <c r="G636" s="7">
        <v>0.35655737704918028</v>
      </c>
      <c r="H636" s="7">
        <v>1.3542672176870935E-3</v>
      </c>
      <c r="I636" s="7">
        <v>0.15554596711910032</v>
      </c>
      <c r="J636" s="7">
        <v>1.8280448275065125E-2</v>
      </c>
      <c r="K636" s="8">
        <v>5.0700000000000002E-2</v>
      </c>
      <c r="L636" s="8">
        <v>6.6199999999999995E-2</v>
      </c>
      <c r="M636" s="8">
        <v>-6.1000000000000004E-3</v>
      </c>
      <c r="N636" s="7">
        <v>1.5499999999999993E-2</v>
      </c>
      <c r="O636" s="7">
        <v>7.9000000000000042E-3</v>
      </c>
      <c r="P636" s="7">
        <v>3.7000000000000006E-3</v>
      </c>
      <c r="Q636" s="7">
        <v>5.9453032104661574E-4</v>
      </c>
      <c r="R636" s="7">
        <v>2.0822E-2</v>
      </c>
      <c r="S636" s="7">
        <v>3.5999999999999999E-3</v>
      </c>
    </row>
    <row r="637" spans="1:19" x14ac:dyDescent="0.3">
      <c r="A637" s="3">
        <v>199912</v>
      </c>
      <c r="B637" s="6">
        <f t="shared" si="18"/>
        <v>5.6308623692275482E-2</v>
      </c>
      <c r="C637" s="4">
        <f t="shared" si="19"/>
        <v>5.8178999999999995E-2</v>
      </c>
      <c r="D637" s="5">
        <v>1.1360898417559979E-2</v>
      </c>
      <c r="E637" s="5">
        <v>1.2018057325528651E-2</v>
      </c>
      <c r="F637" s="7">
        <v>3.2785434745618514E-2</v>
      </c>
      <c r="G637" s="7">
        <v>0.3465227319908657</v>
      </c>
      <c r="H637" s="7">
        <v>1.1487749399219178E-3</v>
      </c>
      <c r="I637" s="7">
        <v>0.14716725943496201</v>
      </c>
      <c r="J637" s="7">
        <v>1.7888756885191551E-2</v>
      </c>
      <c r="K637" s="8">
        <v>5.2000000000000005E-2</v>
      </c>
      <c r="L637" s="8">
        <v>6.8199999999999997E-2</v>
      </c>
      <c r="M637" s="8">
        <v>-1.55E-2</v>
      </c>
      <c r="N637" s="7">
        <v>1.6199999999999992E-2</v>
      </c>
      <c r="O637" s="7">
        <v>6.4000000000000029E-3</v>
      </c>
      <c r="P637" s="7">
        <v>5.2999999999999992E-3</v>
      </c>
      <c r="Q637" s="7">
        <v>0</v>
      </c>
      <c r="R637" s="7">
        <v>6.2578999999999996E-2</v>
      </c>
      <c r="S637" s="7">
        <v>4.4000000000000003E-3</v>
      </c>
    </row>
    <row r="638" spans="1:19" x14ac:dyDescent="0.3">
      <c r="A638" s="3">
        <v>200001</v>
      </c>
      <c r="B638" s="6">
        <f t="shared" si="18"/>
        <v>-5.499551443178155E-2</v>
      </c>
      <c r="C638" s="4">
        <f t="shared" si="19"/>
        <v>-5.373E-2</v>
      </c>
      <c r="D638" s="5">
        <v>1.1986957914413704E-2</v>
      </c>
      <c r="E638" s="5">
        <v>1.1376779536044468E-2</v>
      </c>
      <c r="F638" s="7">
        <v>3.520837217752152E-2</v>
      </c>
      <c r="G638" s="7">
        <v>0.34045760065177544</v>
      </c>
      <c r="H638" s="7">
        <v>5.2062998391521047E-3</v>
      </c>
      <c r="I638" s="7">
        <v>0.15465416004384142</v>
      </c>
      <c r="J638" s="7">
        <v>2.5358783253908567E-2</v>
      </c>
      <c r="K638" s="8">
        <v>5.3200000000000004E-2</v>
      </c>
      <c r="L638" s="8">
        <v>6.6600000000000006E-2</v>
      </c>
      <c r="M638" s="8">
        <v>2.2800000000000001E-2</v>
      </c>
      <c r="N638" s="7">
        <v>1.3400000000000002E-2</v>
      </c>
      <c r="O638" s="7">
        <v>5.499999999999991E-3</v>
      </c>
      <c r="P638" s="7">
        <v>-2.4900000000000002E-2</v>
      </c>
      <c r="Q638" s="7">
        <v>2.9708853238266109E-3</v>
      </c>
      <c r="R638" s="7">
        <v>-4.9630000000000001E-2</v>
      </c>
      <c r="S638" s="7">
        <v>4.0999999999999995E-3</v>
      </c>
    </row>
    <row r="639" spans="1:19" x14ac:dyDescent="0.3">
      <c r="A639" s="3">
        <v>200002</v>
      </c>
      <c r="B639" s="6">
        <f t="shared" si="18"/>
        <v>-2.1902969477947544E-2</v>
      </c>
      <c r="C639" s="4">
        <f t="shared" si="19"/>
        <v>-2.1758E-2</v>
      </c>
      <c r="D639" s="5">
        <v>1.2250015856520444E-2</v>
      </c>
      <c r="E639" s="5">
        <v>1.2003690795481166E-2</v>
      </c>
      <c r="F639" s="7">
        <v>3.6609046510833652E-2</v>
      </c>
      <c r="G639" s="7">
        <v>0.33461717864996343</v>
      </c>
      <c r="H639" s="7">
        <v>3.0004661710201943E-3</v>
      </c>
      <c r="I639" s="7">
        <v>0.1670564326414902</v>
      </c>
      <c r="J639" s="7">
        <v>2.7418820203781353E-2</v>
      </c>
      <c r="K639" s="8">
        <v>5.5500000000000001E-2</v>
      </c>
      <c r="L639" s="8">
        <v>6.4600000000000005E-2</v>
      </c>
      <c r="M639" s="8">
        <v>2.64E-2</v>
      </c>
      <c r="N639" s="7">
        <v>9.1000000000000039E-3</v>
      </c>
      <c r="O639" s="7">
        <v>6.0999999999999943E-3</v>
      </c>
      <c r="P639" s="7">
        <v>-1.72E-2</v>
      </c>
      <c r="Q639" s="7">
        <v>5.924170616113722E-3</v>
      </c>
      <c r="R639" s="7">
        <v>-1.7458000000000001E-2</v>
      </c>
      <c r="S639" s="7">
        <v>4.3E-3</v>
      </c>
    </row>
    <row r="640" spans="1:19" x14ac:dyDescent="0.3">
      <c r="A640" s="3">
        <v>200003</v>
      </c>
      <c r="B640" s="6">
        <f t="shared" si="18"/>
        <v>8.9245699309473764E-2</v>
      </c>
      <c r="C640" s="4">
        <f t="shared" si="19"/>
        <v>9.378800000000001E-2</v>
      </c>
      <c r="D640" s="5">
        <v>1.1185255375088419E-2</v>
      </c>
      <c r="E640" s="5">
        <v>1.2267092109307534E-2</v>
      </c>
      <c r="F640" s="7">
        <v>3.399885224679363E-2</v>
      </c>
      <c r="G640" s="7">
        <v>0.32898920510304225</v>
      </c>
      <c r="H640" s="7">
        <v>6.6783159173639094E-3</v>
      </c>
      <c r="I640" s="7">
        <v>0.14997356178980206</v>
      </c>
      <c r="J640" s="7">
        <v>1.8291388928030072E-2</v>
      </c>
      <c r="K640" s="8">
        <v>5.6900000000000006E-2</v>
      </c>
      <c r="L640" s="8">
        <v>6.1800000000000001E-2</v>
      </c>
      <c r="M640" s="8">
        <v>3.6700000000000003E-2</v>
      </c>
      <c r="N640" s="7">
        <v>4.8999999999999946E-3</v>
      </c>
      <c r="O640" s="7">
        <v>6.9000000000000034E-3</v>
      </c>
      <c r="P640" s="7">
        <v>-1.9800000000000005E-2</v>
      </c>
      <c r="Q640" s="7">
        <v>8.2449941107183289E-3</v>
      </c>
      <c r="R640" s="7">
        <v>9.8488000000000006E-2</v>
      </c>
      <c r="S640" s="7">
        <v>4.6999999999999993E-3</v>
      </c>
    </row>
    <row r="641" spans="1:19" x14ac:dyDescent="0.3">
      <c r="A641" s="3">
        <v>200004</v>
      </c>
      <c r="B641" s="6">
        <f t="shared" si="18"/>
        <v>-3.6681951676672701E-2</v>
      </c>
      <c r="C641" s="4">
        <f t="shared" si="19"/>
        <v>-3.6183E-2</v>
      </c>
      <c r="D641" s="5">
        <v>1.1527348420692678E-2</v>
      </c>
      <c r="E641" s="5">
        <v>1.1172354273156368E-2</v>
      </c>
      <c r="F641" s="7">
        <v>3.530175866192059E-2</v>
      </c>
      <c r="G641" s="7">
        <v>0.32653751137693415</v>
      </c>
      <c r="H641" s="7">
        <v>7.9417469341446206E-3</v>
      </c>
      <c r="I641" s="7">
        <v>0.15260041819792453</v>
      </c>
      <c r="J641" s="7">
        <v>1.1944943918179499E-2</v>
      </c>
      <c r="K641" s="8">
        <v>5.6600000000000004E-2</v>
      </c>
      <c r="L641" s="8">
        <v>6.3E-2</v>
      </c>
      <c r="M641" s="8">
        <v>-7.6E-3</v>
      </c>
      <c r="N641" s="7">
        <v>6.399999999999996E-3</v>
      </c>
      <c r="O641" s="7">
        <v>7.6000000000000095E-3</v>
      </c>
      <c r="P641" s="7">
        <v>-3.8999999999999998E-3</v>
      </c>
      <c r="Q641" s="7">
        <v>5.8411214953291157E-4</v>
      </c>
      <c r="R641" s="7">
        <v>-3.1583E-2</v>
      </c>
      <c r="S641" s="7">
        <v>4.5999999999999999E-3</v>
      </c>
    </row>
    <row r="642" spans="1:19" x14ac:dyDescent="0.3">
      <c r="A642" s="3">
        <v>200005</v>
      </c>
      <c r="B642" s="6">
        <f t="shared" si="18"/>
        <v>-2.7544037224449605E-2</v>
      </c>
      <c r="C642" s="4">
        <f t="shared" si="19"/>
        <v>-2.7304000000000002E-2</v>
      </c>
      <c r="D642" s="5">
        <v>1.1772021211694591E-2</v>
      </c>
      <c r="E642" s="5">
        <v>1.1514037394802735E-2</v>
      </c>
      <c r="F642" s="7">
        <v>3.6320334131118306E-2</v>
      </c>
      <c r="G642" s="7">
        <v>0.32411654499644688</v>
      </c>
      <c r="H642" s="7">
        <v>5.1854233943082161E-3</v>
      </c>
      <c r="I642" s="7">
        <v>0.15566873114331997</v>
      </c>
      <c r="J642" s="7">
        <v>9.1785263259389818E-3</v>
      </c>
      <c r="K642" s="8">
        <v>5.79E-2</v>
      </c>
      <c r="L642" s="8">
        <v>6.4000000000000001E-2</v>
      </c>
      <c r="M642" s="8">
        <v>-5.4000000000000003E-3</v>
      </c>
      <c r="N642" s="7">
        <v>6.1000000000000013E-3</v>
      </c>
      <c r="O642" s="7">
        <v>9.1000000000000109E-3</v>
      </c>
      <c r="P642" s="7">
        <v>-1.0699999999999999E-2</v>
      </c>
      <c r="Q642" s="7">
        <v>1.1675423234092097E-3</v>
      </c>
      <c r="R642" s="7">
        <v>-2.2304000000000001E-2</v>
      </c>
      <c r="S642" s="7">
        <v>5.0000000000000001E-3</v>
      </c>
    </row>
    <row r="643" spans="1:19" x14ac:dyDescent="0.3">
      <c r="A643" s="3">
        <v>200006</v>
      </c>
      <c r="B643" s="6">
        <f t="shared" ref="B643:B706" si="20">LN(R643+1) - LN(S643+1)</f>
        <v>2.1889152994165478E-2</v>
      </c>
      <c r="C643" s="4">
        <f t="shared" ref="C643:C706" si="21">R643 - S643</f>
        <v>2.2218999999999999E-2</v>
      </c>
      <c r="D643" s="5">
        <v>1.148356936614877E-2</v>
      </c>
      <c r="E643" s="5">
        <v>1.1758411938617487E-2</v>
      </c>
      <c r="F643" s="7">
        <v>3.5693661487694213E-2</v>
      </c>
      <c r="G643" s="7">
        <v>0.32172573189522341</v>
      </c>
      <c r="H643" s="7">
        <v>2.3597571671857527E-3</v>
      </c>
      <c r="I643" s="7">
        <v>0.15677796158526175</v>
      </c>
      <c r="J643" s="7">
        <v>7.1242105725142042E-3</v>
      </c>
      <c r="K643" s="8">
        <v>5.6900000000000006E-2</v>
      </c>
      <c r="L643" s="8">
        <v>6.2199999999999998E-2</v>
      </c>
      <c r="M643" s="8">
        <v>2.4400000000000002E-2</v>
      </c>
      <c r="N643" s="7">
        <v>5.2999999999999922E-3</v>
      </c>
      <c r="O643" s="7">
        <v>8.0999999999999961E-3</v>
      </c>
      <c r="P643" s="7">
        <v>8.1999999999999955E-3</v>
      </c>
      <c r="Q643" s="7">
        <v>5.2478134110787167E-3</v>
      </c>
      <c r="R643" s="7">
        <v>2.6218999999999999E-2</v>
      </c>
      <c r="S643" s="7">
        <v>4.0000000000000001E-3</v>
      </c>
    </row>
    <row r="644" spans="1:19" x14ac:dyDescent="0.3">
      <c r="A644" s="3">
        <v>200007</v>
      </c>
      <c r="B644" s="6">
        <f t="shared" si="20"/>
        <v>-1.7666077745815269E-2</v>
      </c>
      <c r="C644" s="4">
        <f t="shared" si="21"/>
        <v>-1.7595E-2</v>
      </c>
      <c r="D644" s="5">
        <v>1.1591174353347359E-2</v>
      </c>
      <c r="E644" s="5">
        <v>1.1401759934002477E-2</v>
      </c>
      <c r="F644" s="7">
        <v>3.6701308564492871E-2</v>
      </c>
      <c r="G644" s="7">
        <v>0.31582455249460456</v>
      </c>
      <c r="H644" s="7">
        <v>2.0654328991224109E-3</v>
      </c>
      <c r="I644" s="7">
        <v>0.15567415100664705</v>
      </c>
      <c r="J644" s="7">
        <v>4.712234446996446E-3</v>
      </c>
      <c r="K644" s="8">
        <v>5.96E-2</v>
      </c>
      <c r="L644" s="8">
        <v>6.1100000000000002E-2</v>
      </c>
      <c r="M644" s="8">
        <v>1.7299999999999999E-2</v>
      </c>
      <c r="N644" s="7">
        <v>1.5000000000000013E-3</v>
      </c>
      <c r="O644" s="7">
        <v>6.9999999999999923E-3</v>
      </c>
      <c r="P644" s="7">
        <v>5.9999999999999984E-4</v>
      </c>
      <c r="Q644" s="7">
        <v>2.3201856148491462E-3</v>
      </c>
      <c r="R644" s="7">
        <v>-1.2795000000000001E-2</v>
      </c>
      <c r="S644" s="7">
        <v>4.7999999999999996E-3</v>
      </c>
    </row>
    <row r="645" spans="1:19" x14ac:dyDescent="0.3">
      <c r="A645" s="3">
        <v>200008</v>
      </c>
      <c r="B645" s="6">
        <f t="shared" si="20"/>
        <v>5.5725546980339519E-2</v>
      </c>
      <c r="C645" s="4">
        <f t="shared" si="21"/>
        <v>5.7593999999999999E-2</v>
      </c>
      <c r="D645" s="5">
        <v>1.0849454430446472E-2</v>
      </c>
      <c r="E645" s="5">
        <v>1.1508005842762594E-2</v>
      </c>
      <c r="F645" s="7">
        <v>3.4992005341486131E-2</v>
      </c>
      <c r="G645" s="7">
        <v>0.31005523474767765</v>
      </c>
      <c r="H645" s="7">
        <v>1.0392528774306594E-3</v>
      </c>
      <c r="I645" s="7">
        <v>0.14605306404363275</v>
      </c>
      <c r="J645" s="7">
        <v>4.6746387574147881E-3</v>
      </c>
      <c r="K645" s="8">
        <v>6.0899999999999996E-2</v>
      </c>
      <c r="L645" s="8">
        <v>5.9400000000000001E-2</v>
      </c>
      <c r="M645" s="8">
        <v>2.4E-2</v>
      </c>
      <c r="N645" s="7">
        <v>-1.4999999999999944E-3</v>
      </c>
      <c r="O645" s="7">
        <v>7.0999999999999952E-3</v>
      </c>
      <c r="P645" s="7">
        <v>-1.0500000000000001E-2</v>
      </c>
      <c r="Q645" s="7">
        <v>0</v>
      </c>
      <c r="R645" s="7">
        <v>6.2593999999999997E-2</v>
      </c>
      <c r="S645" s="7">
        <v>5.0000000000000001E-3</v>
      </c>
    </row>
    <row r="646" spans="1:19" x14ac:dyDescent="0.3">
      <c r="A646" s="3">
        <v>200009</v>
      </c>
      <c r="B646" s="6">
        <f t="shared" si="20"/>
        <v>-5.8580647088584889E-2</v>
      </c>
      <c r="C646" s="4">
        <f t="shared" si="21"/>
        <v>-5.7188000000000003E-2</v>
      </c>
      <c r="D646" s="5">
        <v>1.1379663211533509E-2</v>
      </c>
      <c r="E646" s="5">
        <v>1.0771045279637341E-2</v>
      </c>
      <c r="F646" s="7">
        <v>3.7382266743705227E-2</v>
      </c>
      <c r="G646" s="7">
        <v>0.30441340782122911</v>
      </c>
      <c r="H646" s="7">
        <v>1.5999952481591355E-3</v>
      </c>
      <c r="I646" s="7">
        <v>0.1537894628785958</v>
      </c>
      <c r="J646" s="7">
        <v>4.4689194265840008E-3</v>
      </c>
      <c r="K646" s="8">
        <v>0.06</v>
      </c>
      <c r="L646" s="8">
        <v>6.1199999999999997E-2</v>
      </c>
      <c r="M646" s="8">
        <v>-1.5699999999999999E-2</v>
      </c>
      <c r="N646" s="7">
        <v>1.1999999999999997E-3</v>
      </c>
      <c r="O646" s="7">
        <v>7.2999999999999871E-3</v>
      </c>
      <c r="P646" s="7">
        <v>2.0299999999999999E-2</v>
      </c>
      <c r="Q646" s="7">
        <v>5.2083333333332593E-3</v>
      </c>
      <c r="R646" s="7">
        <v>-5.2088000000000002E-2</v>
      </c>
      <c r="S646" s="7">
        <v>5.1000000000000004E-3</v>
      </c>
    </row>
    <row r="647" spans="1:19" x14ac:dyDescent="0.3">
      <c r="A647" s="3">
        <v>200010</v>
      </c>
      <c r="B647" s="6">
        <f t="shared" si="20"/>
        <v>-9.7128888776808094E-3</v>
      </c>
      <c r="C647" s="4">
        <f t="shared" si="21"/>
        <v>-9.7200000000000012E-3</v>
      </c>
      <c r="D647" s="5">
        <v>1.141854391119817E-2</v>
      </c>
      <c r="E647" s="5">
        <v>1.1362027877750008E-2</v>
      </c>
      <c r="F647" s="7">
        <v>3.6705377547689003E-2</v>
      </c>
      <c r="G647" s="7">
        <v>0.31108640406607369</v>
      </c>
      <c r="H647" s="7">
        <v>5.5682093181707495E-3</v>
      </c>
      <c r="I647" s="7">
        <v>0.14930078887157974</v>
      </c>
      <c r="J647" s="7">
        <v>3.7442833975902248E-3</v>
      </c>
      <c r="K647" s="8">
        <v>6.1100000000000002E-2</v>
      </c>
      <c r="L647" s="8">
        <v>0.06</v>
      </c>
      <c r="M647" s="8">
        <v>1.8700000000000001E-2</v>
      </c>
      <c r="N647" s="7">
        <v>-1.1000000000000038E-3</v>
      </c>
      <c r="O647" s="7">
        <v>7.9000000000000042E-3</v>
      </c>
      <c r="P647" s="7">
        <v>-1.4200000000000001E-2</v>
      </c>
      <c r="Q647" s="7">
        <v>1.7271157167531026E-3</v>
      </c>
      <c r="R647" s="7">
        <v>-4.1200000000000004E-3</v>
      </c>
      <c r="S647" s="7">
        <v>5.6000000000000008E-3</v>
      </c>
    </row>
    <row r="648" spans="1:19" x14ac:dyDescent="0.3">
      <c r="A648" s="3">
        <v>200011</v>
      </c>
      <c r="B648" s="6">
        <f t="shared" si="20"/>
        <v>-8.6587809178718583E-2</v>
      </c>
      <c r="C648" s="4">
        <f t="shared" si="21"/>
        <v>-8.3367999999999998E-2</v>
      </c>
      <c r="D648" s="5">
        <v>1.2393120143985196E-2</v>
      </c>
      <c r="E648" s="5">
        <v>1.1400820857236135E-2</v>
      </c>
      <c r="F648" s="7">
        <v>3.8962191211326158E-2</v>
      </c>
      <c r="G648" s="7">
        <v>0.31808067664281064</v>
      </c>
      <c r="H648" s="7">
        <v>3.2724143892108172E-3</v>
      </c>
      <c r="I648" s="7">
        <v>0.1572808929257013</v>
      </c>
      <c r="J648" s="7">
        <v>1.157450869502256E-3</v>
      </c>
      <c r="K648" s="8">
        <v>6.1699999999999998E-2</v>
      </c>
      <c r="L648" s="8">
        <v>5.7599999999999998E-2</v>
      </c>
      <c r="M648" s="8">
        <v>3.1899999999999998E-2</v>
      </c>
      <c r="N648" s="7">
        <v>-4.0999999999999995E-3</v>
      </c>
      <c r="O648" s="7">
        <v>8.3000000000000018E-3</v>
      </c>
      <c r="P648" s="7">
        <v>-5.5999999999999973E-3</v>
      </c>
      <c r="Q648" s="7">
        <v>5.7471264367814356E-4</v>
      </c>
      <c r="R648" s="7">
        <v>-7.8268000000000004E-2</v>
      </c>
      <c r="S648" s="7">
        <v>5.1000000000000004E-3</v>
      </c>
    </row>
    <row r="649" spans="1:19" x14ac:dyDescent="0.3">
      <c r="A649" s="3">
        <v>200012</v>
      </c>
      <c r="B649" s="6">
        <f t="shared" si="20"/>
        <v>7.1616140563905781E-4</v>
      </c>
      <c r="C649" s="4">
        <f t="shared" si="21"/>
        <v>7.2000000000000015E-4</v>
      </c>
      <c r="D649" s="5">
        <v>1.232390099069894E-2</v>
      </c>
      <c r="E649" s="5">
        <v>1.2373854519183236E-2</v>
      </c>
      <c r="F649" s="7">
        <v>3.7870754688399434E-2</v>
      </c>
      <c r="G649" s="7">
        <v>0.32541999999999993</v>
      </c>
      <c r="H649" s="7">
        <v>5.2992480732922901E-3</v>
      </c>
      <c r="I649" s="7">
        <v>0.15185150364920535</v>
      </c>
      <c r="J649" s="7">
        <v>-2.2617468251434564E-3</v>
      </c>
      <c r="K649" s="8">
        <v>5.7699999999999994E-2</v>
      </c>
      <c r="L649" s="8">
        <v>5.5800000000000002E-2</v>
      </c>
      <c r="M649" s="8">
        <v>2.4299999999999999E-2</v>
      </c>
      <c r="N649" s="7">
        <v>-1.899999999999992E-3</v>
      </c>
      <c r="O649" s="7">
        <v>8.0999999999999961E-3</v>
      </c>
      <c r="P649" s="7">
        <v>2.700000000000001E-3</v>
      </c>
      <c r="Q649" s="7">
        <v>-5.7438253877073464E-4</v>
      </c>
      <c r="R649" s="7">
        <v>5.7200000000000003E-3</v>
      </c>
      <c r="S649" s="7">
        <v>5.0000000000000001E-3</v>
      </c>
    </row>
    <row r="650" spans="1:19" x14ac:dyDescent="0.3">
      <c r="A650" s="3">
        <v>200101</v>
      </c>
      <c r="B650" s="6">
        <f t="shared" si="20"/>
        <v>2.6473594947370348E-2</v>
      </c>
      <c r="C650" s="4">
        <f t="shared" si="21"/>
        <v>2.6971999999999996E-2</v>
      </c>
      <c r="D650" s="5">
        <v>1.183861513946945E-2</v>
      </c>
      <c r="E650" s="5">
        <v>1.2248664424717988E-2</v>
      </c>
      <c r="F650" s="7">
        <v>3.5490223351219978E-2</v>
      </c>
      <c r="G650" s="7">
        <v>0.33357398239823971</v>
      </c>
      <c r="H650" s="7">
        <v>4.9410179635066467E-3</v>
      </c>
      <c r="I650" s="7">
        <v>0.15044966622190453</v>
      </c>
      <c r="J650" s="7">
        <v>-3.1925961362070225E-3</v>
      </c>
      <c r="K650" s="8">
        <v>5.1500000000000004E-2</v>
      </c>
      <c r="L650" s="8">
        <v>5.62E-2</v>
      </c>
      <c r="M650" s="8">
        <v>5.0000000000000001E-4</v>
      </c>
      <c r="N650" s="7">
        <v>4.6999999999999958E-3</v>
      </c>
      <c r="O650" s="7">
        <v>7.7999999999999875E-3</v>
      </c>
      <c r="P650" s="7">
        <v>3.5400000000000001E-2</v>
      </c>
      <c r="Q650" s="7">
        <v>6.3218390804598013E-3</v>
      </c>
      <c r="R650" s="7">
        <v>3.2371999999999998E-2</v>
      </c>
      <c r="S650" s="7">
        <v>5.4000000000000003E-3</v>
      </c>
    </row>
    <row r="651" spans="1:19" x14ac:dyDescent="0.3">
      <c r="A651" s="3">
        <v>200102</v>
      </c>
      <c r="B651" s="6">
        <f t="shared" si="20"/>
        <v>-9.9150179156976201E-2</v>
      </c>
      <c r="C651" s="4">
        <f t="shared" si="21"/>
        <v>-9.4752000000000003E-2</v>
      </c>
      <c r="D651" s="5">
        <v>1.2962186342349897E-2</v>
      </c>
      <c r="E651" s="5">
        <v>1.1765897272591953E-2</v>
      </c>
      <c r="F651" s="7">
        <v>3.7872800296788557E-2</v>
      </c>
      <c r="G651" s="7">
        <v>0.34225582055650194</v>
      </c>
      <c r="H651" s="7">
        <v>2.5284102284801918E-3</v>
      </c>
      <c r="I651" s="7">
        <v>0.15607009127121954</v>
      </c>
      <c r="J651" s="7">
        <v>-6.8557259002635382E-3</v>
      </c>
      <c r="K651" s="8">
        <v>4.8799999999999996E-2</v>
      </c>
      <c r="L651" s="8">
        <v>5.4899999999999997E-2</v>
      </c>
      <c r="M651" s="8">
        <v>1.9099999999999999E-2</v>
      </c>
      <c r="N651" s="7">
        <v>6.1000000000000013E-3</v>
      </c>
      <c r="O651" s="7">
        <v>7.7000000000000124E-3</v>
      </c>
      <c r="P651" s="7">
        <v>-6.3999999999999994E-3</v>
      </c>
      <c r="Q651" s="7">
        <v>3.9977155910908557E-3</v>
      </c>
      <c r="R651" s="7">
        <v>-9.0952000000000005E-2</v>
      </c>
      <c r="S651" s="7">
        <v>3.8E-3</v>
      </c>
    </row>
    <row r="652" spans="1:19" x14ac:dyDescent="0.3">
      <c r="A652" s="3">
        <v>200103</v>
      </c>
      <c r="B652" s="6">
        <f t="shared" si="20"/>
        <v>-7.0016953878793531E-2</v>
      </c>
      <c r="C652" s="4">
        <f t="shared" si="21"/>
        <v>-6.7905999999999994E-2</v>
      </c>
      <c r="D652" s="5">
        <v>1.3765911421750709E-2</v>
      </c>
      <c r="E652" s="5">
        <v>1.2882074939109955E-2</v>
      </c>
      <c r="F652" s="7">
        <v>3.9161273086104821E-2</v>
      </c>
      <c r="G652" s="7">
        <v>0.3515184859154929</v>
      </c>
      <c r="H652" s="7">
        <v>7.1395945316393627E-3</v>
      </c>
      <c r="I652" s="7">
        <v>0.1331135514482312</v>
      </c>
      <c r="J652" s="7">
        <v>-5.2134481194394027E-3</v>
      </c>
      <c r="K652" s="8">
        <v>4.4199999999999996E-2</v>
      </c>
      <c r="L652" s="8">
        <v>5.5899999999999998E-2</v>
      </c>
      <c r="M652" s="8">
        <v>-7.4000000000000003E-3</v>
      </c>
      <c r="N652" s="7">
        <v>1.1700000000000002E-2</v>
      </c>
      <c r="O652" s="7">
        <v>8.5999999999999965E-3</v>
      </c>
      <c r="P652" s="7">
        <v>4.5000000000000005E-3</v>
      </c>
      <c r="Q652" s="7">
        <v>2.2753128555175195E-3</v>
      </c>
      <c r="R652" s="7">
        <v>-6.3705999999999999E-2</v>
      </c>
      <c r="S652" s="7">
        <v>4.1999999999999997E-3</v>
      </c>
    </row>
    <row r="653" spans="1:19" x14ac:dyDescent="0.3">
      <c r="A653" s="3">
        <v>200104</v>
      </c>
      <c r="B653" s="6">
        <f t="shared" si="20"/>
        <v>7.1051779136108301E-2</v>
      </c>
      <c r="C653" s="4">
        <f t="shared" si="21"/>
        <v>7.3924000000000004E-2</v>
      </c>
      <c r="D653" s="5">
        <v>1.2707356244564318E-2</v>
      </c>
      <c r="E653" s="5">
        <v>1.368346361236315E-2</v>
      </c>
      <c r="F653" s="7">
        <v>3.4060047273755598E-2</v>
      </c>
      <c r="G653" s="7">
        <v>0.3730868645727265</v>
      </c>
      <c r="H653" s="7">
        <v>7.4262611416544199E-3</v>
      </c>
      <c r="I653" s="7">
        <v>0.12249690060368182</v>
      </c>
      <c r="J653" s="7">
        <v>-2.543021132436415E-3</v>
      </c>
      <c r="K653" s="8">
        <v>3.8699999999999998E-2</v>
      </c>
      <c r="L653" s="8">
        <v>5.9299999999999999E-2</v>
      </c>
      <c r="M653" s="8">
        <v>-3.1300000000000001E-2</v>
      </c>
      <c r="N653" s="7">
        <v>2.06E-2</v>
      </c>
      <c r="O653" s="7">
        <v>8.6999999999999994E-3</v>
      </c>
      <c r="P653" s="7">
        <v>1.8500000000000003E-2</v>
      </c>
      <c r="Q653" s="7">
        <v>3.9727582292850006E-3</v>
      </c>
      <c r="R653" s="7">
        <v>7.7824000000000004E-2</v>
      </c>
      <c r="S653" s="7">
        <v>3.9000000000000003E-3</v>
      </c>
    </row>
    <row r="654" spans="1:19" x14ac:dyDescent="0.3">
      <c r="A654" s="3">
        <v>200105</v>
      </c>
      <c r="B654" s="6">
        <f t="shared" si="20"/>
        <v>3.6406931752368294E-3</v>
      </c>
      <c r="C654" s="4">
        <f t="shared" si="21"/>
        <v>3.6589999999999995E-3</v>
      </c>
      <c r="D654" s="5">
        <v>1.2566822209127635E-2</v>
      </c>
      <c r="E654" s="5">
        <v>1.2630789834541854E-2</v>
      </c>
      <c r="F654" s="7">
        <v>3.1591576287472195E-2</v>
      </c>
      <c r="G654" s="7">
        <v>0.39779028734666444</v>
      </c>
      <c r="H654" s="7">
        <v>2.5362374011015268E-3</v>
      </c>
      <c r="I654" s="7">
        <v>0.120510187998605</v>
      </c>
      <c r="J654" s="7">
        <v>-2.482857715818364E-4</v>
      </c>
      <c r="K654" s="8">
        <v>3.6200000000000003E-2</v>
      </c>
      <c r="L654" s="8">
        <v>5.9400000000000001E-2</v>
      </c>
      <c r="M654" s="8">
        <v>3.7000000000000002E-3</v>
      </c>
      <c r="N654" s="7">
        <v>2.3199999999999998E-2</v>
      </c>
      <c r="O654" s="7">
        <v>7.8000000000000014E-3</v>
      </c>
      <c r="P654" s="7">
        <v>9.4999999999999998E-3</v>
      </c>
      <c r="Q654" s="7">
        <v>4.5223289994347216E-3</v>
      </c>
      <c r="R654" s="7">
        <v>6.8589999999999996E-3</v>
      </c>
      <c r="S654" s="7">
        <v>3.2000000000000002E-3</v>
      </c>
    </row>
    <row r="655" spans="1:19" x14ac:dyDescent="0.3">
      <c r="A655" s="3">
        <v>200106</v>
      </c>
      <c r="B655" s="6">
        <f t="shared" si="20"/>
        <v>-2.7606331810735518E-2</v>
      </c>
      <c r="C655" s="4">
        <f t="shared" si="21"/>
        <v>-2.7304999999999999E-2</v>
      </c>
      <c r="D655" s="5">
        <v>1.2810963558256153E-2</v>
      </c>
      <c r="E655" s="5">
        <v>1.2490643563568028E-2</v>
      </c>
      <c r="F655" s="7">
        <v>3.0046879338788975E-2</v>
      </c>
      <c r="G655" s="7">
        <v>0.42636586028812179</v>
      </c>
      <c r="H655" s="7">
        <v>1.5083582954252322E-3</v>
      </c>
      <c r="I655" s="7">
        <v>0.12520943283134334</v>
      </c>
      <c r="J655" s="7">
        <v>5.0407601696276306E-3</v>
      </c>
      <c r="K655" s="8">
        <v>3.49E-2</v>
      </c>
      <c r="L655" s="8">
        <v>5.8999999999999997E-2</v>
      </c>
      <c r="M655" s="8">
        <v>8.5000000000000006E-3</v>
      </c>
      <c r="N655" s="7">
        <v>2.4099999999999996E-2</v>
      </c>
      <c r="O655" s="7">
        <v>7.8999999999999904E-3</v>
      </c>
      <c r="P655" s="7">
        <v>-3.0000000000000009E-3</v>
      </c>
      <c r="Q655" s="7">
        <v>1.6882386043894915E-3</v>
      </c>
      <c r="R655" s="7">
        <v>-2.4504999999999999E-2</v>
      </c>
      <c r="S655" s="7">
        <v>2.8000000000000004E-3</v>
      </c>
    </row>
    <row r="656" spans="1:19" x14ac:dyDescent="0.3">
      <c r="A656" s="3">
        <v>200107</v>
      </c>
      <c r="B656" s="6">
        <f t="shared" si="20"/>
        <v>-1.2356183714310662E-2</v>
      </c>
      <c r="C656" s="4">
        <f t="shared" si="21"/>
        <v>-1.2317000000000002E-2</v>
      </c>
      <c r="D656" s="5">
        <v>1.2964231951542371E-2</v>
      </c>
      <c r="E656" s="5">
        <v>1.2824575445244821E-2</v>
      </c>
      <c r="F656" s="7">
        <v>2.8040366679601175E-2</v>
      </c>
      <c r="G656" s="7">
        <v>0.46234174109333598</v>
      </c>
      <c r="H656" s="7">
        <v>2.8996134281906237E-3</v>
      </c>
      <c r="I656" s="7">
        <v>0.12496658328228791</v>
      </c>
      <c r="J656" s="7">
        <v>7.913839402107695E-3</v>
      </c>
      <c r="K656" s="8">
        <v>3.5099999999999999E-2</v>
      </c>
      <c r="L656" s="8">
        <v>5.6099999999999997E-2</v>
      </c>
      <c r="M656" s="8">
        <v>3.7600000000000001E-2</v>
      </c>
      <c r="N656" s="7">
        <v>2.0999999999999998E-2</v>
      </c>
      <c r="O656" s="7">
        <v>8.3999999999999908E-3</v>
      </c>
      <c r="P656" s="7">
        <v>-1.5000000000000013E-3</v>
      </c>
      <c r="Q656" s="7">
        <v>-2.8089887640448952E-3</v>
      </c>
      <c r="R656" s="7">
        <v>-9.3170000000000006E-3</v>
      </c>
      <c r="S656" s="7">
        <v>3.0000000000000001E-3</v>
      </c>
    </row>
    <row r="657" spans="1:19" x14ac:dyDescent="0.3">
      <c r="A657" s="3">
        <v>200108</v>
      </c>
      <c r="B657" s="6">
        <f t="shared" si="20"/>
        <v>-6.8631557046017241E-2</v>
      </c>
      <c r="C657" s="4">
        <f t="shared" si="21"/>
        <v>-6.6535000000000011E-2</v>
      </c>
      <c r="D657" s="5">
        <v>1.3866981892176411E-2</v>
      </c>
      <c r="E657" s="5">
        <v>1.297799206866849E-2</v>
      </c>
      <c r="F657" s="7">
        <v>2.7467551180037283E-2</v>
      </c>
      <c r="G657" s="7">
        <v>0.50484958783856126</v>
      </c>
      <c r="H657" s="7">
        <v>2.2215212165124128E-3</v>
      </c>
      <c r="I657" s="7">
        <v>0.13216414381465613</v>
      </c>
      <c r="J657" s="7">
        <v>9.918328156520325E-3</v>
      </c>
      <c r="K657" s="8">
        <v>3.3599999999999998E-2</v>
      </c>
      <c r="L657" s="8">
        <v>5.4600000000000003E-2</v>
      </c>
      <c r="M657" s="8">
        <v>2.06E-2</v>
      </c>
      <c r="N657" s="7">
        <v>2.1000000000000005E-2</v>
      </c>
      <c r="O657" s="7">
        <v>8.3000000000000018E-3</v>
      </c>
      <c r="P657" s="7">
        <v>-5.000000000000001E-3</v>
      </c>
      <c r="Q657" s="7">
        <v>0</v>
      </c>
      <c r="R657" s="7">
        <v>-6.3435000000000005E-2</v>
      </c>
      <c r="S657" s="7">
        <v>3.0999999999999999E-3</v>
      </c>
    </row>
    <row r="658" spans="1:19" x14ac:dyDescent="0.3">
      <c r="A658" s="3">
        <v>200109</v>
      </c>
      <c r="B658" s="6">
        <f t="shared" si="20"/>
        <v>-8.6570164551012838E-2</v>
      </c>
      <c r="C658" s="4">
        <f t="shared" si="21"/>
        <v>-8.3160999999999999E-2</v>
      </c>
      <c r="D658" s="5">
        <v>1.5117105692931388E-2</v>
      </c>
      <c r="E658" s="5">
        <v>1.388168457453378E-2</v>
      </c>
      <c r="F658" s="7">
        <v>2.7196572328856607E-2</v>
      </c>
      <c r="G658" s="7">
        <v>0.55584599081596608</v>
      </c>
      <c r="H658" s="7">
        <v>7.1675936772919169E-3</v>
      </c>
      <c r="I658" s="7">
        <v>0.14862858821556416</v>
      </c>
      <c r="J658" s="7">
        <v>8.6527388742818727E-3</v>
      </c>
      <c r="K658" s="8">
        <v>2.64E-2</v>
      </c>
      <c r="L658" s="8">
        <v>5.4199999999999998E-2</v>
      </c>
      <c r="M658" s="8">
        <v>8.0999999999999996E-3</v>
      </c>
      <c r="N658" s="7">
        <v>2.7799999999999998E-2</v>
      </c>
      <c r="O658" s="7">
        <v>8.5999999999999965E-3</v>
      </c>
      <c r="P658" s="7">
        <v>-2.3300000000000001E-2</v>
      </c>
      <c r="Q658" s="7">
        <v>4.5070422535211652E-3</v>
      </c>
      <c r="R658" s="7">
        <v>-8.0361000000000002E-2</v>
      </c>
      <c r="S658" s="7">
        <v>2.8000000000000004E-3</v>
      </c>
    </row>
    <row r="659" spans="1:19" x14ac:dyDescent="0.3">
      <c r="A659" s="3">
        <v>200110</v>
      </c>
      <c r="B659" s="6">
        <f t="shared" si="20"/>
        <v>1.7153961638294177E-2</v>
      </c>
      <c r="C659" s="4">
        <f t="shared" si="21"/>
        <v>1.7339999999999998E-2</v>
      </c>
      <c r="D659" s="5">
        <v>1.484962287770418E-2</v>
      </c>
      <c r="E659" s="5">
        <v>1.5118386586482731E-2</v>
      </c>
      <c r="F659" s="7">
        <v>2.5574490303018865E-2</v>
      </c>
      <c r="G659" s="7">
        <v>0.58064198745541762</v>
      </c>
      <c r="H659" s="7">
        <v>3.2497725334085059E-3</v>
      </c>
      <c r="I659" s="7">
        <v>0.14490139957107073</v>
      </c>
      <c r="J659" s="7">
        <v>1.0749269909007755E-2</v>
      </c>
      <c r="K659" s="8">
        <v>2.1600000000000001E-2</v>
      </c>
      <c r="L659" s="8">
        <v>5.0599999999999999E-2</v>
      </c>
      <c r="M659" s="8">
        <v>4.6399999999999997E-2</v>
      </c>
      <c r="N659" s="7">
        <v>2.8999999999999998E-2</v>
      </c>
      <c r="O659" s="7">
        <v>8.8000000000000023E-3</v>
      </c>
      <c r="P659" s="7">
        <v>-2.6999999999999941E-3</v>
      </c>
      <c r="Q659" s="7">
        <v>-3.3651149747617737E-3</v>
      </c>
      <c r="R659" s="7">
        <v>1.9539999999999998E-2</v>
      </c>
      <c r="S659" s="7">
        <v>2.2000000000000001E-3</v>
      </c>
    </row>
    <row r="660" spans="1:19" x14ac:dyDescent="0.3">
      <c r="A660" s="3">
        <v>200111</v>
      </c>
      <c r="B660" s="6">
        <f t="shared" si="20"/>
        <v>7.4138705148849612E-2</v>
      </c>
      <c r="C660" s="4">
        <f t="shared" si="21"/>
        <v>7.7086999999999989E-2</v>
      </c>
      <c r="D660" s="5">
        <v>1.3812511884388666E-2</v>
      </c>
      <c r="E660" s="5">
        <v>1.4850881000459216E-2</v>
      </c>
      <c r="F660" s="7">
        <v>2.2727339213363174E-2</v>
      </c>
      <c r="G660" s="7">
        <v>0.60774874501222809</v>
      </c>
      <c r="H660" s="7">
        <v>2.1893580096945513E-3</v>
      </c>
      <c r="I660" s="7">
        <v>0.13348136666603183</v>
      </c>
      <c r="J660" s="7">
        <v>1.1161770431095069E-2</v>
      </c>
      <c r="K660" s="8">
        <v>1.8700000000000001E-2</v>
      </c>
      <c r="L660" s="8">
        <v>5.5300000000000002E-2</v>
      </c>
      <c r="M660" s="8">
        <v>-4.7100000000000003E-2</v>
      </c>
      <c r="N660" s="7">
        <v>3.6600000000000001E-2</v>
      </c>
      <c r="O660" s="7">
        <v>8.4000000000000047E-3</v>
      </c>
      <c r="P660" s="7">
        <v>2.8300000000000002E-2</v>
      </c>
      <c r="Q660" s="7">
        <v>-1.6882386043892694E-3</v>
      </c>
      <c r="R660" s="7">
        <v>7.8786999999999996E-2</v>
      </c>
      <c r="S660" s="7">
        <v>1.7000000000000001E-3</v>
      </c>
    </row>
    <row r="661" spans="1:19" x14ac:dyDescent="0.3">
      <c r="A661" s="3">
        <v>200112</v>
      </c>
      <c r="B661" s="6">
        <f t="shared" si="20"/>
        <v>7.5114090645282752E-3</v>
      </c>
      <c r="C661" s="4">
        <f t="shared" si="21"/>
        <v>7.5510000000000004E-3</v>
      </c>
      <c r="D661" s="5">
        <v>1.3709846003762806E-2</v>
      </c>
      <c r="E661" s="5">
        <v>1.3813682039580499E-2</v>
      </c>
      <c r="F661" s="7">
        <v>2.1505470002090448E-2</v>
      </c>
      <c r="G661" s="7">
        <v>0.63750506277845276</v>
      </c>
      <c r="H661" s="7">
        <v>1.7979581002522842E-3</v>
      </c>
      <c r="I661" s="7">
        <v>0.13121784591378771</v>
      </c>
      <c r="J661" s="7">
        <v>1.3464826012758809E-2</v>
      </c>
      <c r="K661" s="8">
        <v>1.6899999999999998E-2</v>
      </c>
      <c r="L661" s="8">
        <v>5.7500000000000002E-2</v>
      </c>
      <c r="M661" s="8">
        <v>-1.83E-2</v>
      </c>
      <c r="N661" s="7">
        <v>4.0600000000000004E-2</v>
      </c>
      <c r="O661" s="7">
        <v>1.2800000000000006E-2</v>
      </c>
      <c r="P661" s="7">
        <v>9.300000000000001E-3</v>
      </c>
      <c r="Q661" s="7">
        <v>-3.9458850056370842E-3</v>
      </c>
      <c r="R661" s="7">
        <v>9.051E-3</v>
      </c>
      <c r="S661" s="7">
        <v>1.5E-3</v>
      </c>
    </row>
    <row r="662" spans="1:19" x14ac:dyDescent="0.3">
      <c r="A662" s="3">
        <v>200201</v>
      </c>
      <c r="B662" s="6">
        <f t="shared" si="20"/>
        <v>-1.5826599699832012E-2</v>
      </c>
      <c r="C662" s="4">
        <f t="shared" si="21"/>
        <v>-1.5724000000000002E-2</v>
      </c>
      <c r="D662" s="5">
        <v>1.392378929982894E-2</v>
      </c>
      <c r="E662" s="5">
        <v>1.3706942605625626E-2</v>
      </c>
      <c r="F662" s="7">
        <v>2.184864035863859E-2</v>
      </c>
      <c r="G662" s="7">
        <v>0.63728401727861772</v>
      </c>
      <c r="H662" s="7">
        <v>2.1838795452332744E-3</v>
      </c>
      <c r="I662" s="7">
        <v>0.13256054866795369</v>
      </c>
      <c r="J662" s="7">
        <v>1.1191293294472878E-2</v>
      </c>
      <c r="K662" s="8">
        <v>1.6500000000000001E-2</v>
      </c>
      <c r="L662" s="8">
        <v>5.6899999999999999E-2</v>
      </c>
      <c r="M662" s="8">
        <v>1.3800000000000002E-2</v>
      </c>
      <c r="N662" s="7">
        <v>4.0399999999999998E-2</v>
      </c>
      <c r="O662" s="7">
        <v>1.3200000000000003E-2</v>
      </c>
      <c r="P662" s="7">
        <v>3.7000000000000002E-3</v>
      </c>
      <c r="Q662" s="7">
        <v>2.2637238256932868E-3</v>
      </c>
      <c r="R662" s="7">
        <v>-1.4324E-2</v>
      </c>
      <c r="S662" s="7">
        <v>1.4000000000000002E-3</v>
      </c>
    </row>
    <row r="663" spans="1:19" x14ac:dyDescent="0.3">
      <c r="A663" s="3">
        <v>200202</v>
      </c>
      <c r="B663" s="6">
        <f t="shared" si="20"/>
        <v>-2.0972411396670176E-2</v>
      </c>
      <c r="C663" s="4">
        <f t="shared" si="21"/>
        <v>-2.0780999999999997E-2</v>
      </c>
      <c r="D663" s="5">
        <v>1.4216053900529789E-2</v>
      </c>
      <c r="E663" s="5">
        <v>1.3920839969326963E-2</v>
      </c>
      <c r="F663" s="7">
        <v>2.2314987997674833E-2</v>
      </c>
      <c r="G663" s="7">
        <v>0.63706303144823861</v>
      </c>
      <c r="H663" s="7">
        <v>2.5678430299262821E-3</v>
      </c>
      <c r="I663" s="7">
        <v>0.13011908568679617</v>
      </c>
      <c r="J663" s="7">
        <v>1.2499024517583616E-2</v>
      </c>
      <c r="K663" s="8">
        <v>1.72E-2</v>
      </c>
      <c r="L663" s="8">
        <v>5.6300000000000003E-2</v>
      </c>
      <c r="M663" s="8">
        <v>1.15E-2</v>
      </c>
      <c r="N663" s="7">
        <v>3.9100000000000003E-2</v>
      </c>
      <c r="O663" s="7">
        <v>1.3800000000000007E-2</v>
      </c>
      <c r="P663" s="7">
        <v>1.5000000000000013E-3</v>
      </c>
      <c r="Q663" s="7">
        <v>3.9525691699606735E-3</v>
      </c>
      <c r="R663" s="7">
        <v>-1.9480999999999998E-2</v>
      </c>
      <c r="S663" s="7">
        <v>1.2999999999999999E-3</v>
      </c>
    </row>
    <row r="664" spans="1:19" x14ac:dyDescent="0.3">
      <c r="A664" s="3">
        <v>200203</v>
      </c>
      <c r="B664" s="6">
        <f t="shared" si="20"/>
        <v>3.55842125735562E-2</v>
      </c>
      <c r="C664" s="4">
        <f t="shared" si="21"/>
        <v>3.6271999999999999E-2</v>
      </c>
      <c r="D664" s="5">
        <v>1.3709375190650084E-2</v>
      </c>
      <c r="E664" s="5">
        <v>1.4213042024703406E-2</v>
      </c>
      <c r="F664" s="7">
        <v>2.1527118067962942E-2</v>
      </c>
      <c r="G664" s="7">
        <v>0.63684210526315788</v>
      </c>
      <c r="H664" s="7">
        <v>2.0148209239029811E-3</v>
      </c>
      <c r="I664" s="7">
        <v>0.23683340230085725</v>
      </c>
      <c r="J664" s="7">
        <v>1.3759452242847072E-2</v>
      </c>
      <c r="K664" s="8">
        <v>1.7899999999999999E-2</v>
      </c>
      <c r="L664" s="8">
        <v>6.0400000000000002E-2</v>
      </c>
      <c r="M664" s="8">
        <v>-4.36E-2</v>
      </c>
      <c r="N664" s="7">
        <v>4.2500000000000003E-2</v>
      </c>
      <c r="O664" s="7">
        <v>1.2999999999999998E-2</v>
      </c>
      <c r="P664" s="7">
        <v>1.4099999999999998E-2</v>
      </c>
      <c r="Q664" s="7">
        <v>5.6242969628796935E-3</v>
      </c>
      <c r="R664" s="7">
        <v>3.7572000000000001E-2</v>
      </c>
      <c r="S664" s="7">
        <v>1.2999999999999999E-3</v>
      </c>
    </row>
    <row r="665" spans="1:19" x14ac:dyDescent="0.3">
      <c r="A665" s="3">
        <v>200204</v>
      </c>
      <c r="B665" s="6">
        <f t="shared" si="20"/>
        <v>-6.4439740860903441E-2</v>
      </c>
      <c r="C665" s="4">
        <f t="shared" si="21"/>
        <v>-6.2501000000000001E-2</v>
      </c>
      <c r="D665" s="5">
        <v>1.4702113434609813E-2</v>
      </c>
      <c r="E665" s="5">
        <v>1.3799144144536731E-2</v>
      </c>
      <c r="F665" s="7">
        <v>2.356721019202912E-2</v>
      </c>
      <c r="G665" s="7">
        <v>0.62383766745468872</v>
      </c>
      <c r="H665" s="7">
        <v>2.3197779615849955E-3</v>
      </c>
      <c r="I665" s="7">
        <v>0.24773231255207134</v>
      </c>
      <c r="J665" s="7">
        <v>1.5106854233913202E-2</v>
      </c>
      <c r="K665" s="8">
        <v>1.7100000000000001E-2</v>
      </c>
      <c r="L665" s="8">
        <v>5.7500000000000002E-2</v>
      </c>
      <c r="M665" s="8">
        <v>4.1000000000000002E-2</v>
      </c>
      <c r="N665" s="7">
        <v>4.0400000000000005E-2</v>
      </c>
      <c r="O665" s="7">
        <v>1.2700000000000003E-2</v>
      </c>
      <c r="P665" s="7">
        <v>-1.5700000000000002E-2</v>
      </c>
      <c r="Q665" s="7">
        <v>5.5928411633110464E-3</v>
      </c>
      <c r="R665" s="7">
        <v>-6.1001E-2</v>
      </c>
      <c r="S665" s="7">
        <v>1.5E-3</v>
      </c>
    </row>
    <row r="666" spans="1:19" x14ac:dyDescent="0.3">
      <c r="A666" s="3">
        <v>200205</v>
      </c>
      <c r="B666" s="6">
        <f t="shared" si="20"/>
        <v>-9.2296000288959734E-3</v>
      </c>
      <c r="C666" s="4">
        <f t="shared" si="21"/>
        <v>-9.1999999999999998E-3</v>
      </c>
      <c r="D666" s="5">
        <v>1.4933373315591206E-2</v>
      </c>
      <c r="E666" s="5">
        <v>1.4797756565018756E-2</v>
      </c>
      <c r="F666" s="7">
        <v>2.4420413441535314E-2</v>
      </c>
      <c r="G666" s="7">
        <v>0.6115118956254797</v>
      </c>
      <c r="H666" s="7">
        <v>4.1016101887377957E-3</v>
      </c>
      <c r="I666" s="7">
        <v>0.24825561406925717</v>
      </c>
      <c r="J666" s="7">
        <v>2.2277336500513466E-2</v>
      </c>
      <c r="K666" s="8">
        <v>1.7299999999999999E-2</v>
      </c>
      <c r="L666" s="8">
        <v>5.7799999999999997E-2</v>
      </c>
      <c r="M666" s="8">
        <v>1.5E-3</v>
      </c>
      <c r="N666" s="7">
        <v>4.0499999999999994E-2</v>
      </c>
      <c r="O666" s="7">
        <v>1.3399999999999995E-2</v>
      </c>
      <c r="P666" s="7">
        <v>9.8000000000000014E-3</v>
      </c>
      <c r="Q666" s="7">
        <v>0</v>
      </c>
      <c r="R666" s="7">
        <v>-7.7999999999999996E-3</v>
      </c>
      <c r="S666" s="7">
        <v>1.4000000000000002E-3</v>
      </c>
    </row>
    <row r="667" spans="1:19" x14ac:dyDescent="0.3">
      <c r="A667" s="3">
        <v>200206</v>
      </c>
      <c r="B667" s="6">
        <f t="shared" si="20"/>
        <v>-7.5321439249025762E-2</v>
      </c>
      <c r="C667" s="4">
        <f t="shared" si="21"/>
        <v>-7.2648999999999991E-2</v>
      </c>
      <c r="D667" s="5">
        <v>1.620411998262293E-2</v>
      </c>
      <c r="E667" s="5">
        <v>1.5029892984987912E-2</v>
      </c>
      <c r="F667" s="7">
        <v>2.7015285761913903E-2</v>
      </c>
      <c r="G667" s="7">
        <v>0.59981301421092004</v>
      </c>
      <c r="H667" s="7">
        <v>3.7079466567304276E-3</v>
      </c>
      <c r="I667" s="7">
        <v>0.26657250177680364</v>
      </c>
      <c r="J667" s="7">
        <v>2.7522764711782204E-2</v>
      </c>
      <c r="K667" s="8">
        <v>1.7000000000000001E-2</v>
      </c>
      <c r="L667" s="8">
        <v>5.6599999999999998E-2</v>
      </c>
      <c r="M667" s="8">
        <v>1.8700000000000001E-2</v>
      </c>
      <c r="N667" s="7">
        <v>3.9599999999999996E-2</v>
      </c>
      <c r="O667" s="7">
        <v>1.3200000000000003E-2</v>
      </c>
      <c r="P667" s="7">
        <v>-1.14E-2</v>
      </c>
      <c r="Q667" s="7">
        <v>5.5617352614012461E-4</v>
      </c>
      <c r="R667" s="7">
        <v>-7.1348999999999996E-2</v>
      </c>
      <c r="S667" s="7">
        <v>1.2999999999999999E-3</v>
      </c>
    </row>
    <row r="668" spans="1:19" x14ac:dyDescent="0.3">
      <c r="A668" s="3">
        <v>200207</v>
      </c>
      <c r="B668" s="6">
        <f t="shared" si="20"/>
        <v>-7.8365881681347907E-2</v>
      </c>
      <c r="C668" s="4">
        <f t="shared" si="21"/>
        <v>-7.5486999999999999E-2</v>
      </c>
      <c r="D668" s="5">
        <v>1.7506197757837696E-2</v>
      </c>
      <c r="E668" s="5">
        <v>1.6123296390216306E-2</v>
      </c>
      <c r="F668" s="7">
        <v>3.0539040389636028E-2</v>
      </c>
      <c r="G668" s="7">
        <v>0.57323994252873567</v>
      </c>
      <c r="H668" s="7">
        <v>1.5342790699523377E-2</v>
      </c>
      <c r="I668" s="7">
        <v>0.28203219448297867</v>
      </c>
      <c r="J668" s="7">
        <v>2.8441031509636054E-2</v>
      </c>
      <c r="K668" s="8">
        <v>1.6799999999999999E-2</v>
      </c>
      <c r="L668" s="8">
        <v>5.4399999999999997E-2</v>
      </c>
      <c r="M668" s="8">
        <v>3.0300000000000001E-2</v>
      </c>
      <c r="N668" s="7">
        <v>3.7599999999999995E-2</v>
      </c>
      <c r="O668" s="7">
        <v>1.3700000000000004E-2</v>
      </c>
      <c r="P668" s="7">
        <v>-2.0900000000000002E-2</v>
      </c>
      <c r="Q668" s="7">
        <v>1.1117287381878782E-3</v>
      </c>
      <c r="R668" s="7">
        <v>-7.3986999999999997E-2</v>
      </c>
      <c r="S668" s="7">
        <v>1.5E-3</v>
      </c>
    </row>
    <row r="669" spans="1:19" x14ac:dyDescent="0.3">
      <c r="A669" s="3">
        <v>200208</v>
      </c>
      <c r="B669" s="6">
        <f t="shared" si="20"/>
        <v>5.6371669562903879E-3</v>
      </c>
      <c r="C669" s="4">
        <f t="shared" si="21"/>
        <v>5.6609999999999994E-3</v>
      </c>
      <c r="D669" s="5">
        <v>1.7333828200901676E-2</v>
      </c>
      <c r="E669" s="5">
        <v>1.7418441894649087E-2</v>
      </c>
      <c r="F669" s="7">
        <v>3.1591472267403144E-2</v>
      </c>
      <c r="G669" s="7">
        <v>0.54868693849343475</v>
      </c>
      <c r="H669" s="7">
        <v>9.4092909076165208E-3</v>
      </c>
      <c r="I669" s="7">
        <v>0.28441155599500301</v>
      </c>
      <c r="J669" s="7">
        <v>2.4747691570045246E-2</v>
      </c>
      <c r="K669" s="8">
        <v>1.6200000000000003E-2</v>
      </c>
      <c r="L669" s="8">
        <v>5.0999999999999997E-2</v>
      </c>
      <c r="M669" s="8">
        <v>4.6400000000000004E-2</v>
      </c>
      <c r="N669" s="7">
        <v>3.4799999999999998E-2</v>
      </c>
      <c r="O669" s="7">
        <v>1.21E-2</v>
      </c>
      <c r="P669" s="7">
        <v>-1.1999999999999997E-3</v>
      </c>
      <c r="Q669" s="7">
        <v>3.331482509716821E-3</v>
      </c>
      <c r="R669" s="7">
        <v>7.0609999999999996E-3</v>
      </c>
      <c r="S669" s="7">
        <v>1.4000000000000002E-3</v>
      </c>
    </row>
    <row r="670" spans="1:19" x14ac:dyDescent="0.3">
      <c r="A670" s="3">
        <v>200209</v>
      </c>
      <c r="B670" s="6">
        <f t="shared" si="20"/>
        <v>-0.11677059149059275</v>
      </c>
      <c r="C670" s="4">
        <f t="shared" si="21"/>
        <v>-0.110365</v>
      </c>
      <c r="D670" s="5">
        <v>1.937838069889242E-2</v>
      </c>
      <c r="E670" s="5">
        <v>1.7246498630017357E-2</v>
      </c>
      <c r="F670" s="7">
        <v>3.6845784935421753E-2</v>
      </c>
      <c r="G670" s="7">
        <v>0.5259320905459387</v>
      </c>
      <c r="H670" s="7">
        <v>7.3661128417694087E-3</v>
      </c>
      <c r="I670" s="7">
        <v>0.3245551554638465</v>
      </c>
      <c r="J670" s="7">
        <v>2.9299293965457301E-2</v>
      </c>
      <c r="K670" s="8">
        <v>1.6299999999999999E-2</v>
      </c>
      <c r="L670" s="8">
        <v>4.8000000000000001E-2</v>
      </c>
      <c r="M670" s="8">
        <v>4.1700000000000001E-2</v>
      </c>
      <c r="N670" s="7">
        <v>3.1700000000000006E-2</v>
      </c>
      <c r="O670" s="7">
        <v>1.2500000000000004E-2</v>
      </c>
      <c r="P670" s="7">
        <v>-8.6999999999999994E-3</v>
      </c>
      <c r="Q670" s="7">
        <v>1.6602102933038765E-3</v>
      </c>
      <c r="R670" s="7">
        <v>-0.10896500000000001</v>
      </c>
      <c r="S670" s="7">
        <v>1.4000000000000002E-3</v>
      </c>
    </row>
    <row r="671" spans="1:19" x14ac:dyDescent="0.3">
      <c r="A671" s="3">
        <v>200210</v>
      </c>
      <c r="B671" s="6">
        <f t="shared" si="20"/>
        <v>8.3492527492773277E-2</v>
      </c>
      <c r="C671" s="4">
        <f t="shared" si="21"/>
        <v>8.7198999999999999E-2</v>
      </c>
      <c r="D671" s="5">
        <v>1.7940149325626202E-2</v>
      </c>
      <c r="E671" s="5">
        <v>1.9490815129176938E-2</v>
      </c>
      <c r="F671" s="7">
        <v>3.2992383188824664E-2</v>
      </c>
      <c r="G671" s="7">
        <v>0.54376639671495375</v>
      </c>
      <c r="H671" s="7">
        <v>1.1589635527735679E-2</v>
      </c>
      <c r="I671" s="7">
        <v>0.29343706375456641</v>
      </c>
      <c r="J671" s="7">
        <v>2.5670938877939972E-2</v>
      </c>
      <c r="K671" s="8">
        <v>1.5800000000000002E-2</v>
      </c>
      <c r="L671" s="8">
        <v>5.0799999999999998E-2</v>
      </c>
      <c r="M671" s="8">
        <v>-2.9400000000000003E-2</v>
      </c>
      <c r="N671" s="7">
        <v>3.4999999999999996E-2</v>
      </c>
      <c r="O671" s="7">
        <v>1.4100000000000001E-2</v>
      </c>
      <c r="P671" s="7">
        <v>5.400000000000002E-3</v>
      </c>
      <c r="Q671" s="7">
        <v>1.6574585635360517E-3</v>
      </c>
      <c r="R671" s="7">
        <v>8.8598999999999997E-2</v>
      </c>
      <c r="S671" s="7">
        <v>1.4000000000000002E-3</v>
      </c>
    </row>
    <row r="672" spans="1:19" x14ac:dyDescent="0.3">
      <c r="A672" s="3">
        <v>200211</v>
      </c>
      <c r="B672" s="6">
        <f t="shared" si="20"/>
        <v>5.6143727337043273E-2</v>
      </c>
      <c r="C672" s="4">
        <f t="shared" si="21"/>
        <v>5.7819000000000002E-2</v>
      </c>
      <c r="D672" s="5">
        <v>1.7069489093711841E-2</v>
      </c>
      <c r="E672" s="5">
        <v>1.8043638607899808E-2</v>
      </c>
      <c r="F672" s="7">
        <v>3.0338954690932136E-2</v>
      </c>
      <c r="G672" s="7">
        <v>0.56262614409762968</v>
      </c>
      <c r="H672" s="7">
        <v>4.449075140035735E-3</v>
      </c>
      <c r="I672" s="7">
        <v>0.27697549934051002</v>
      </c>
      <c r="J672" s="7">
        <v>2.2907594695425231E-2</v>
      </c>
      <c r="K672" s="8">
        <v>1.23E-2</v>
      </c>
      <c r="L672" s="8">
        <v>5.21E-2</v>
      </c>
      <c r="M672" s="8">
        <v>-1.2200000000000001E-2</v>
      </c>
      <c r="N672" s="7">
        <v>3.9800000000000002E-2</v>
      </c>
      <c r="O672" s="7">
        <v>1.3100000000000014E-2</v>
      </c>
      <c r="P672" s="7">
        <v>2.52E-2</v>
      </c>
      <c r="Q672" s="7">
        <v>0</v>
      </c>
      <c r="R672" s="7">
        <v>5.9019000000000002E-2</v>
      </c>
      <c r="S672" s="7">
        <v>1.1999999999999999E-3</v>
      </c>
    </row>
    <row r="673" spans="1:19" x14ac:dyDescent="0.3">
      <c r="A673" s="3">
        <v>200212</v>
      </c>
      <c r="B673" s="6">
        <f t="shared" si="20"/>
        <v>-6.1735142321619238E-2</v>
      </c>
      <c r="C673" s="4">
        <f t="shared" si="21"/>
        <v>-5.9933999999999994E-2</v>
      </c>
      <c r="D673" s="5">
        <v>1.8269646063967627E-2</v>
      </c>
      <c r="E673" s="5">
        <v>1.7167391141822686E-2</v>
      </c>
      <c r="F673" s="7">
        <v>3.1358687004159932E-2</v>
      </c>
      <c r="G673" s="7">
        <v>0.58260239217107646</v>
      </c>
      <c r="H673" s="7">
        <v>2.6395380032735232E-3</v>
      </c>
      <c r="I673" s="7">
        <v>0.29538589561836665</v>
      </c>
      <c r="J673" s="7">
        <v>2.5735978058795333E-2</v>
      </c>
      <c r="K673" s="8">
        <v>1.1899999999999999E-2</v>
      </c>
      <c r="L673" s="8">
        <v>4.8399999999999999E-2</v>
      </c>
      <c r="M673" s="8">
        <v>5.0700000000000002E-2</v>
      </c>
      <c r="N673" s="7">
        <v>3.6499999999999998E-2</v>
      </c>
      <c r="O673" s="7">
        <v>1.2399999999999994E-2</v>
      </c>
      <c r="P673" s="7">
        <v>-1.4600000000000002E-2</v>
      </c>
      <c r="Q673" s="7">
        <v>-2.2062879205736463E-3</v>
      </c>
      <c r="R673" s="7">
        <v>-5.8833999999999997E-2</v>
      </c>
      <c r="S673" s="7">
        <v>1.1000000000000001E-3</v>
      </c>
    </row>
    <row r="674" spans="1:19" x14ac:dyDescent="0.3">
      <c r="A674" s="3">
        <v>200301</v>
      </c>
      <c r="B674" s="6">
        <f t="shared" si="20"/>
        <v>-2.793810828377526E-2</v>
      </c>
      <c r="C674" s="4">
        <f t="shared" si="21"/>
        <v>-2.7578999999999999E-2</v>
      </c>
      <c r="D674" s="5">
        <v>1.8843052471660626E-2</v>
      </c>
      <c r="E674" s="5">
        <v>1.8326475870064328E-2</v>
      </c>
      <c r="F674" s="7">
        <v>3.3306065209769781E-2</v>
      </c>
      <c r="G674" s="7">
        <v>0.56575438596491223</v>
      </c>
      <c r="H674" s="7">
        <v>5.1675744301912787E-3</v>
      </c>
      <c r="I674" s="7">
        <v>0.30594230715093917</v>
      </c>
      <c r="J674" s="7">
        <v>2.8288953268431245E-2</v>
      </c>
      <c r="K674" s="8">
        <v>1.1699999999999999E-2</v>
      </c>
      <c r="L674" s="8">
        <v>4.9500000000000002E-2</v>
      </c>
      <c r="M674" s="8">
        <v>-1.06E-2</v>
      </c>
      <c r="N674" s="7">
        <v>3.78E-2</v>
      </c>
      <c r="O674" s="7">
        <v>1.1799999999999998E-2</v>
      </c>
      <c r="P674" s="7">
        <v>1.2699999999999999E-2</v>
      </c>
      <c r="Q674" s="7">
        <v>4.4223327805417156E-3</v>
      </c>
      <c r="R674" s="7">
        <v>-2.6578999999999998E-2</v>
      </c>
      <c r="S674" s="7">
        <v>1E-3</v>
      </c>
    </row>
    <row r="675" spans="1:19" x14ac:dyDescent="0.3">
      <c r="A675" s="3">
        <v>200302</v>
      </c>
      <c r="B675" s="6">
        <f t="shared" si="20"/>
        <v>-1.6263010437551441E-2</v>
      </c>
      <c r="C675" s="4">
        <f t="shared" si="21"/>
        <v>-1.6146000000000001E-2</v>
      </c>
      <c r="D675" s="5">
        <v>1.9228437258515127E-2</v>
      </c>
      <c r="E675" s="5">
        <v>1.8901484165011102E-2</v>
      </c>
      <c r="F675" s="7">
        <v>3.4964037329846043E-2</v>
      </c>
      <c r="G675" s="7">
        <v>0.54994899693981636</v>
      </c>
      <c r="H675" s="7">
        <v>2.564119727906977E-3</v>
      </c>
      <c r="I675" s="7">
        <v>0.31225132058189597</v>
      </c>
      <c r="J675" s="7">
        <v>2.7918707355893899E-2</v>
      </c>
      <c r="K675" s="8">
        <v>1.1699999999999999E-2</v>
      </c>
      <c r="L675" s="8">
        <v>4.7199999999999999E-2</v>
      </c>
      <c r="M675" s="8">
        <v>3.2899999999999999E-2</v>
      </c>
      <c r="N675" s="7">
        <v>3.5500000000000004E-2</v>
      </c>
      <c r="O675" s="7">
        <v>1.1099999999999992E-2</v>
      </c>
      <c r="P675" s="7">
        <v>-6.4999999999999988E-3</v>
      </c>
      <c r="Q675" s="7">
        <v>7.7050082553660193E-3</v>
      </c>
      <c r="R675" s="7">
        <v>-1.5245999999999999E-2</v>
      </c>
      <c r="S675" s="7">
        <v>8.9999999999999998E-4</v>
      </c>
    </row>
    <row r="676" spans="1:19" x14ac:dyDescent="0.3">
      <c r="A676" s="3">
        <v>200303</v>
      </c>
      <c r="B676" s="6">
        <f t="shared" si="20"/>
        <v>9.2557345271827088E-3</v>
      </c>
      <c r="C676" s="4">
        <f t="shared" si="21"/>
        <v>9.3080000000000003E-3</v>
      </c>
      <c r="D676" s="5">
        <v>1.912801527977552E-2</v>
      </c>
      <c r="E676" s="5">
        <v>1.9287879688521668E-2</v>
      </c>
      <c r="F676" s="7">
        <v>3.5747129147115003E-2</v>
      </c>
      <c r="G676" s="7">
        <v>0.53509234828496044</v>
      </c>
      <c r="H676" s="7">
        <v>6.1361179345498507E-3</v>
      </c>
      <c r="I676" s="7">
        <v>0.28611770079921678</v>
      </c>
      <c r="J676" s="7">
        <v>2.4098596953968994E-2</v>
      </c>
      <c r="K676" s="8">
        <v>1.1299999999999999E-2</v>
      </c>
      <c r="L676" s="8">
        <v>4.8599999999999997E-2</v>
      </c>
      <c r="M676" s="8">
        <v>-1.35E-2</v>
      </c>
      <c r="N676" s="7">
        <v>3.73E-2</v>
      </c>
      <c r="O676" s="7">
        <v>1.0600000000000012E-2</v>
      </c>
      <c r="P676" s="7">
        <v>5.4999999999999997E-3</v>
      </c>
      <c r="Q676" s="7">
        <v>6.007646095030017E-3</v>
      </c>
      <c r="R676" s="7">
        <v>1.0307999999999999E-2</v>
      </c>
      <c r="S676" s="7">
        <v>1E-3</v>
      </c>
    </row>
    <row r="677" spans="1:19" x14ac:dyDescent="0.3">
      <c r="A677" s="3">
        <v>200304</v>
      </c>
      <c r="B677" s="6">
        <f t="shared" si="20"/>
        <v>7.8526766315432872E-2</v>
      </c>
      <c r="C677" s="4">
        <f t="shared" si="21"/>
        <v>8.1773999999999999E-2</v>
      </c>
      <c r="D677" s="5">
        <v>1.7672570489610146E-2</v>
      </c>
      <c r="E677" s="5">
        <v>1.9104828377624249E-2</v>
      </c>
      <c r="F677" s="7">
        <v>3.4604981895912407E-2</v>
      </c>
      <c r="G677" s="7">
        <v>0.51069440067233951</v>
      </c>
      <c r="H677" s="7">
        <v>3.0648097538564902E-3</v>
      </c>
      <c r="I677" s="7">
        <v>0.26965403060989368</v>
      </c>
      <c r="J677" s="7">
        <v>1.9966881659095798E-2</v>
      </c>
      <c r="K677" s="8">
        <v>1.1299999999999999E-2</v>
      </c>
      <c r="L677" s="8">
        <v>4.8099999999999997E-2</v>
      </c>
      <c r="M677" s="8">
        <v>1.0200000000000001E-2</v>
      </c>
      <c r="N677" s="7">
        <v>3.6799999999999999E-2</v>
      </c>
      <c r="O677" s="7">
        <v>1.1099999999999992E-2</v>
      </c>
      <c r="P677" s="7">
        <v>1.2699999999999999E-2</v>
      </c>
      <c r="Q677" s="7">
        <v>-2.1715526601518986E-3</v>
      </c>
      <c r="R677" s="7">
        <v>8.2774E-2</v>
      </c>
      <c r="S677" s="7">
        <v>1E-3</v>
      </c>
    </row>
    <row r="678" spans="1:19" x14ac:dyDescent="0.3">
      <c r="A678" s="3">
        <v>200305</v>
      </c>
      <c r="B678" s="6">
        <f t="shared" si="20"/>
        <v>5.0981976075904795E-2</v>
      </c>
      <c r="C678" s="4">
        <f t="shared" si="21"/>
        <v>5.2351000000000002E-2</v>
      </c>
      <c r="D678" s="5">
        <v>1.6796216924902359E-2</v>
      </c>
      <c r="E678" s="5">
        <v>1.7651121871773617E-2</v>
      </c>
      <c r="F678" s="7">
        <v>3.4392220757791178E-2</v>
      </c>
      <c r="G678" s="7">
        <v>0.48837256085294706</v>
      </c>
      <c r="H678" s="7">
        <v>2.2283195008501585E-3</v>
      </c>
      <c r="I678" s="7">
        <v>0.25837550610750942</v>
      </c>
      <c r="J678" s="7">
        <v>6.4481089865527129E-3</v>
      </c>
      <c r="K678" s="8">
        <v>1.0700000000000001E-2</v>
      </c>
      <c r="L678" s="8">
        <v>4.36E-2</v>
      </c>
      <c r="M678" s="8">
        <v>5.9200000000000003E-2</v>
      </c>
      <c r="N678" s="7">
        <v>3.2899999999999999E-2</v>
      </c>
      <c r="O678" s="7">
        <v>1.1599999999999999E-2</v>
      </c>
      <c r="P678" s="7">
        <v>-1.21E-2</v>
      </c>
      <c r="Q678" s="7">
        <v>-1.6322089227421843E-3</v>
      </c>
      <c r="R678" s="7">
        <v>5.3251E-2</v>
      </c>
      <c r="S678" s="7">
        <v>8.9999999999999998E-4</v>
      </c>
    </row>
    <row r="679" spans="1:19" x14ac:dyDescent="0.3">
      <c r="A679" s="3">
        <v>200306</v>
      </c>
      <c r="B679" s="6">
        <f t="shared" si="20"/>
        <v>1.1735069738217099E-2</v>
      </c>
      <c r="C679" s="4">
        <f t="shared" si="21"/>
        <v>1.1816E-2</v>
      </c>
      <c r="D679" s="5">
        <v>1.6587823624180358E-2</v>
      </c>
      <c r="E679" s="5">
        <v>1.6775807137890595E-2</v>
      </c>
      <c r="F679" s="7">
        <v>3.5453715200459715E-2</v>
      </c>
      <c r="G679" s="7">
        <v>0.46787264833574532</v>
      </c>
      <c r="H679" s="7">
        <v>1.9977006815544074E-3</v>
      </c>
      <c r="I679" s="7">
        <v>0.25448833726539011</v>
      </c>
      <c r="J679" s="7">
        <v>1.2618871281020662E-3</v>
      </c>
      <c r="K679" s="8">
        <v>9.1999999999999998E-3</v>
      </c>
      <c r="L679" s="8">
        <v>4.5199999999999997E-2</v>
      </c>
      <c r="M679" s="8">
        <v>-1.54E-2</v>
      </c>
      <c r="N679" s="7">
        <v>3.5999999999999997E-2</v>
      </c>
      <c r="O679" s="7">
        <v>1.2200000000000009E-2</v>
      </c>
      <c r="P679" s="7">
        <v>1.1000000000000003E-3</v>
      </c>
      <c r="Q679" s="7">
        <v>1.0899182561308063E-3</v>
      </c>
      <c r="R679" s="7">
        <v>1.2815999999999999E-2</v>
      </c>
      <c r="S679" s="7">
        <v>1E-3</v>
      </c>
    </row>
    <row r="680" spans="1:19" x14ac:dyDescent="0.3">
      <c r="A680" s="3">
        <v>200307</v>
      </c>
      <c r="B680" s="6">
        <f t="shared" si="20"/>
        <v>1.7073363140559773E-2</v>
      </c>
      <c r="C680" s="4">
        <f t="shared" si="21"/>
        <v>1.7232000000000001E-2</v>
      </c>
      <c r="D680" s="5">
        <v>1.6464878001164619E-2</v>
      </c>
      <c r="E680" s="5">
        <v>1.6731827619350579E-2</v>
      </c>
      <c r="F680" s="7">
        <v>3.6244542954563051E-2</v>
      </c>
      <c r="G680" s="7">
        <v>0.45427191679049039</v>
      </c>
      <c r="H680" s="7">
        <v>2.0460155901345415E-3</v>
      </c>
      <c r="I680" s="7">
        <v>0.24764333478963677</v>
      </c>
      <c r="J680" s="7">
        <v>2.7157563058323859E-4</v>
      </c>
      <c r="K680" s="8">
        <v>9.0000000000000011E-3</v>
      </c>
      <c r="L680" s="8">
        <v>5.4199999999999998E-2</v>
      </c>
      <c r="M680" s="8">
        <v>-9.820000000000001E-2</v>
      </c>
      <c r="N680" s="7">
        <v>4.5199999999999997E-2</v>
      </c>
      <c r="O680" s="7">
        <v>1.1299999999999991E-2</v>
      </c>
      <c r="P680" s="7">
        <v>1.0100000000000012E-2</v>
      </c>
      <c r="Q680" s="7">
        <v>1.0887316276537717E-3</v>
      </c>
      <c r="R680" s="7">
        <v>1.7932E-2</v>
      </c>
      <c r="S680" s="7">
        <v>7.000000000000001E-4</v>
      </c>
    </row>
    <row r="681" spans="1:19" x14ac:dyDescent="0.3">
      <c r="A681" s="3">
        <v>200308</v>
      </c>
      <c r="B681" s="6">
        <f t="shared" si="20"/>
        <v>1.8707696070895865E-2</v>
      </c>
      <c r="C681" s="4">
        <f t="shared" si="21"/>
        <v>1.8897000000000001E-2</v>
      </c>
      <c r="D681" s="5">
        <v>1.6314983647648999E-2</v>
      </c>
      <c r="E681" s="5">
        <v>1.6606584470182741E-2</v>
      </c>
      <c r="F681" s="7">
        <v>3.6940771090233894E-2</v>
      </c>
      <c r="G681" s="7">
        <v>0.44165249306239374</v>
      </c>
      <c r="H681" s="7">
        <v>9.6605637156809429E-4</v>
      </c>
      <c r="I681" s="7">
        <v>0.24285607334599177</v>
      </c>
      <c r="J681" s="7">
        <v>2.91701332774773E-3</v>
      </c>
      <c r="K681" s="8">
        <v>9.4999999999999998E-3</v>
      </c>
      <c r="L681" s="8">
        <v>5.3199999999999997E-2</v>
      </c>
      <c r="M681" s="8">
        <v>1.66E-2</v>
      </c>
      <c r="N681" s="7">
        <v>4.3699999999999996E-2</v>
      </c>
      <c r="O681" s="7">
        <v>1.1299999999999998E-2</v>
      </c>
      <c r="P681" s="7">
        <v>5.2999999999999992E-3</v>
      </c>
      <c r="Q681" s="7">
        <v>3.8064165307232223E-3</v>
      </c>
      <c r="R681" s="7">
        <v>1.9597E-2</v>
      </c>
      <c r="S681" s="7">
        <v>7.000000000000001E-4</v>
      </c>
    </row>
    <row r="682" spans="1:19" x14ac:dyDescent="0.3">
      <c r="A682" s="3">
        <v>200309</v>
      </c>
      <c r="B682" s="6">
        <f t="shared" si="20"/>
        <v>-1.1594737704875478E-2</v>
      </c>
      <c r="C682" s="4">
        <f t="shared" si="21"/>
        <v>-1.1537E-2</v>
      </c>
      <c r="D682" s="5">
        <v>1.6653112041527356E-2</v>
      </c>
      <c r="E682" s="5">
        <v>1.6454201843235684E-2</v>
      </c>
      <c r="F682" s="7">
        <v>3.8736106509232204E-2</v>
      </c>
      <c r="G682" s="7">
        <v>0.42991187143597726</v>
      </c>
      <c r="H682" s="7">
        <v>1.8690885416812872E-3</v>
      </c>
      <c r="I682" s="7">
        <v>0.24654178263370644</v>
      </c>
      <c r="J682" s="7">
        <v>7.3234062557862648E-3</v>
      </c>
      <c r="K682" s="8">
        <v>9.3999999999999986E-3</v>
      </c>
      <c r="L682" s="8">
        <v>4.9000000000000002E-2</v>
      </c>
      <c r="M682" s="8">
        <v>5.4600000000000003E-2</v>
      </c>
      <c r="N682" s="7">
        <v>3.9600000000000003E-2</v>
      </c>
      <c r="O682" s="7">
        <v>1.0700000000000001E-2</v>
      </c>
      <c r="P682" s="7">
        <v>-4.2999999999999983E-3</v>
      </c>
      <c r="Q682" s="7">
        <v>3.250270855904569E-3</v>
      </c>
      <c r="R682" s="7">
        <v>-1.0737E-2</v>
      </c>
      <c r="S682" s="7">
        <v>8.0000000000000004E-4</v>
      </c>
    </row>
    <row r="683" spans="1:19" x14ac:dyDescent="0.3">
      <c r="A683" s="3">
        <v>200310</v>
      </c>
      <c r="B683" s="6">
        <f t="shared" si="20"/>
        <v>5.3371676673454098E-2</v>
      </c>
      <c r="C683" s="4">
        <f t="shared" si="21"/>
        <v>5.4859999999999999E-2</v>
      </c>
      <c r="D683" s="5">
        <v>1.6038995853597408E-2</v>
      </c>
      <c r="E683" s="5">
        <v>1.6920523041189326E-2</v>
      </c>
      <c r="F683" s="7">
        <v>3.994124607804881E-2</v>
      </c>
      <c r="G683" s="7">
        <v>0.40156473391580622</v>
      </c>
      <c r="H683" s="7">
        <v>1.4076126595935553E-3</v>
      </c>
      <c r="I683" s="7">
        <v>0.23330896667445805</v>
      </c>
      <c r="J683" s="7">
        <v>7.2114228679728111E-3</v>
      </c>
      <c r="K683" s="8">
        <v>9.1999999999999998E-3</v>
      </c>
      <c r="L683" s="8">
        <v>5.1799999999999999E-2</v>
      </c>
      <c r="M683" s="8">
        <v>-2.8300000000000002E-2</v>
      </c>
      <c r="N683" s="7">
        <v>4.2599999999999999E-2</v>
      </c>
      <c r="O683" s="7">
        <v>1.0299999999999997E-2</v>
      </c>
      <c r="P683" s="7">
        <v>8.0000000000000002E-3</v>
      </c>
      <c r="Q683" s="7">
        <v>-1.0799136069113979E-3</v>
      </c>
      <c r="R683" s="7">
        <v>5.5559999999999998E-2</v>
      </c>
      <c r="S683" s="7">
        <v>7.000000000000001E-4</v>
      </c>
    </row>
    <row r="684" spans="1:19" x14ac:dyDescent="0.3">
      <c r="A684" s="3">
        <v>200311</v>
      </c>
      <c r="B684" s="6">
        <f t="shared" si="20"/>
        <v>8.5166431098837106E-3</v>
      </c>
      <c r="C684" s="4">
        <f t="shared" si="21"/>
        <v>8.5590000000000006E-3</v>
      </c>
      <c r="D684" s="5">
        <v>1.617715617715618E-2</v>
      </c>
      <c r="E684" s="5">
        <v>1.6292475246896546E-2</v>
      </c>
      <c r="F684" s="7">
        <v>4.2858942858942858E-2</v>
      </c>
      <c r="G684" s="7">
        <v>0.3774511245038954</v>
      </c>
      <c r="H684" s="7">
        <v>9.1966306348981413E-4</v>
      </c>
      <c r="I684" s="7">
        <v>0.2337541521073348</v>
      </c>
      <c r="J684" s="7">
        <v>1.0000790522036403E-2</v>
      </c>
      <c r="K684" s="8">
        <v>9.300000000000001E-3</v>
      </c>
      <c r="L684" s="8">
        <v>5.1900000000000002E-2</v>
      </c>
      <c r="M684" s="8">
        <v>-2.7000000000000001E-3</v>
      </c>
      <c r="N684" s="7">
        <v>4.2599999999999999E-2</v>
      </c>
      <c r="O684" s="7">
        <v>1.0100000000000005E-2</v>
      </c>
      <c r="P684" s="7">
        <v>7.9000000000000008E-3</v>
      </c>
      <c r="Q684" s="7">
        <v>-2.7027027027026751E-3</v>
      </c>
      <c r="R684" s="7">
        <v>9.2589999999999999E-3</v>
      </c>
      <c r="S684" s="7">
        <v>7.000000000000001E-4</v>
      </c>
    </row>
    <row r="685" spans="1:19" x14ac:dyDescent="0.3">
      <c r="A685" s="3">
        <v>200312</v>
      </c>
      <c r="B685" s="6">
        <f t="shared" si="20"/>
        <v>4.9684286799887359E-2</v>
      </c>
      <c r="C685" s="4">
        <f t="shared" si="21"/>
        <v>5.0979999999999998E-2</v>
      </c>
      <c r="D685" s="5">
        <v>1.5635117634362185E-2</v>
      </c>
      <c r="E685" s="5">
        <v>1.6428841428841431E-2</v>
      </c>
      <c r="F685" s="7">
        <v>4.3834088783365699E-2</v>
      </c>
      <c r="G685" s="7">
        <v>0.3566885514977432</v>
      </c>
      <c r="H685" s="7">
        <v>8.9370000017737503E-4</v>
      </c>
      <c r="I685" s="7">
        <v>0.21873986475412183</v>
      </c>
      <c r="J685" s="7">
        <v>6.9463113713297935E-3</v>
      </c>
      <c r="K685" s="8">
        <v>9.0000000000000011E-3</v>
      </c>
      <c r="L685" s="8">
        <v>5.11E-2</v>
      </c>
      <c r="M685" s="8">
        <v>1.3900000000000001E-2</v>
      </c>
      <c r="N685" s="7">
        <v>4.2099999999999999E-2</v>
      </c>
      <c r="O685" s="7">
        <v>9.8000000000000032E-3</v>
      </c>
      <c r="P685" s="7">
        <v>0</v>
      </c>
      <c r="Q685" s="7">
        <v>-1.0840108401083404E-3</v>
      </c>
      <c r="R685" s="7">
        <v>5.178E-2</v>
      </c>
      <c r="S685" s="7">
        <v>8.0000000000000004E-4</v>
      </c>
    </row>
    <row r="686" spans="1:19" x14ac:dyDescent="0.3">
      <c r="A686" s="3">
        <v>200401</v>
      </c>
      <c r="B686" s="6">
        <f t="shared" si="20"/>
        <v>1.8198541829820458E-2</v>
      </c>
      <c r="C686" s="4">
        <f t="shared" si="21"/>
        <v>1.8378000000000002E-2</v>
      </c>
      <c r="D686" s="5">
        <v>1.5557893433999629E-2</v>
      </c>
      <c r="E686" s="5">
        <v>1.5826678178286209E-2</v>
      </c>
      <c r="F686" s="7">
        <v>4.4050344935300682E-2</v>
      </c>
      <c r="G686" s="7">
        <v>0.35318437249130324</v>
      </c>
      <c r="H686" s="7">
        <v>9.7879335210184089E-4</v>
      </c>
      <c r="I686" s="7">
        <v>0.21802772102016865</v>
      </c>
      <c r="J686" s="7">
        <v>6.8865017141266751E-3</v>
      </c>
      <c r="K686" s="8">
        <v>8.8000000000000005E-3</v>
      </c>
      <c r="L686" s="8">
        <v>4.99E-2</v>
      </c>
      <c r="M686" s="8">
        <v>1.8700000000000001E-2</v>
      </c>
      <c r="N686" s="7">
        <v>4.1099999999999998E-2</v>
      </c>
      <c r="O686" s="7">
        <v>9.0000000000000011E-3</v>
      </c>
      <c r="P686" s="7">
        <v>0</v>
      </c>
      <c r="Q686" s="7">
        <v>4.8833423765597406E-3</v>
      </c>
      <c r="R686" s="7">
        <v>1.9078000000000001E-2</v>
      </c>
      <c r="S686" s="7">
        <v>7.000000000000001E-4</v>
      </c>
    </row>
    <row r="687" spans="1:19" x14ac:dyDescent="0.3">
      <c r="A687" s="3">
        <v>200402</v>
      </c>
      <c r="B687" s="6">
        <f t="shared" si="20"/>
        <v>1.3700442037732893E-2</v>
      </c>
      <c r="C687" s="4">
        <f t="shared" si="21"/>
        <v>1.3802999999999999E-2</v>
      </c>
      <c r="D687" s="5">
        <v>1.5556273691197791E-2</v>
      </c>
      <c r="E687" s="5">
        <v>1.5746200701952914E-2</v>
      </c>
      <c r="F687" s="7">
        <v>4.4468123511566829E-2</v>
      </c>
      <c r="G687" s="7">
        <v>0.34982977609008775</v>
      </c>
      <c r="H687" s="7">
        <v>6.1075094195148954E-4</v>
      </c>
      <c r="I687" s="7">
        <v>0.21605322035691879</v>
      </c>
      <c r="J687" s="7">
        <v>9.3613188455892154E-3</v>
      </c>
      <c r="K687" s="8">
        <v>9.300000000000001E-3</v>
      </c>
      <c r="L687" s="8">
        <v>4.8300000000000003E-2</v>
      </c>
      <c r="M687" s="8">
        <v>2.3E-2</v>
      </c>
      <c r="N687" s="7">
        <v>3.9E-2</v>
      </c>
      <c r="O687" s="7">
        <v>7.6999999999999916E-3</v>
      </c>
      <c r="P687" s="7">
        <v>-5.1999999999999998E-3</v>
      </c>
      <c r="Q687" s="7">
        <v>5.3995680345573227E-3</v>
      </c>
      <c r="R687" s="7">
        <v>1.4402999999999999E-2</v>
      </c>
      <c r="S687" s="7">
        <v>5.9999999999999995E-4</v>
      </c>
    </row>
    <row r="688" spans="1:19" x14ac:dyDescent="0.3">
      <c r="A688" s="3">
        <v>200403</v>
      </c>
      <c r="B688" s="6">
        <f t="shared" si="20"/>
        <v>-1.5994959108178636E-2</v>
      </c>
      <c r="C688" s="4">
        <f t="shared" si="21"/>
        <v>-1.5882E-2</v>
      </c>
      <c r="D688" s="5">
        <v>1.6004120013141422E-2</v>
      </c>
      <c r="E688" s="5">
        <v>1.5742309640679859E-2</v>
      </c>
      <c r="F688" s="7">
        <v>4.6172561067651677E-2</v>
      </c>
      <c r="G688" s="7">
        <v>0.34661538461538466</v>
      </c>
      <c r="H688" s="7">
        <v>1.9812495110685838E-3</v>
      </c>
      <c r="I688" s="7">
        <v>0.281731465479788</v>
      </c>
      <c r="J688" s="7">
        <v>1.2282038626579754E-2</v>
      </c>
      <c r="K688" s="8">
        <v>9.3999999999999986E-3</v>
      </c>
      <c r="L688" s="8">
        <v>4.7399999999999998E-2</v>
      </c>
      <c r="M688" s="8">
        <v>1.41E-2</v>
      </c>
      <c r="N688" s="7">
        <v>3.7999999999999999E-2</v>
      </c>
      <c r="O688" s="7">
        <v>7.8000000000000014E-3</v>
      </c>
      <c r="P688" s="7">
        <v>-2.3E-3</v>
      </c>
      <c r="Q688" s="7">
        <v>6.4446831364124435E-3</v>
      </c>
      <c r="R688" s="7">
        <v>-1.4982000000000001E-2</v>
      </c>
      <c r="S688" s="7">
        <v>8.9999999999999998E-4</v>
      </c>
    </row>
    <row r="689" spans="1:19" x14ac:dyDescent="0.3">
      <c r="A689" s="3">
        <v>200404</v>
      </c>
      <c r="B689" s="6">
        <f t="shared" si="20"/>
        <v>-1.6506387212422882E-2</v>
      </c>
      <c r="C689" s="4">
        <f t="shared" si="21"/>
        <v>-1.6383999999999999E-2</v>
      </c>
      <c r="D689" s="5">
        <v>1.6451428399409974E-2</v>
      </c>
      <c r="E689" s="5">
        <v>1.617519527145618E-2</v>
      </c>
      <c r="F689" s="7">
        <v>4.8210361540082479E-2</v>
      </c>
      <c r="G689" s="7">
        <v>0.3412425850764908</v>
      </c>
      <c r="H689" s="7">
        <v>1.2309376648862766E-3</v>
      </c>
      <c r="I689" s="7">
        <v>0.28537186680057935</v>
      </c>
      <c r="J689" s="7">
        <v>1.3766282190884572E-2</v>
      </c>
      <c r="K689" s="8">
        <v>9.3999999999999986E-3</v>
      </c>
      <c r="L689" s="8">
        <v>5.3100000000000001E-2</v>
      </c>
      <c r="M689" s="8">
        <v>-5.8799999999999998E-2</v>
      </c>
      <c r="N689" s="7">
        <v>4.3700000000000003E-2</v>
      </c>
      <c r="O689" s="7">
        <v>7.3000000000000009E-3</v>
      </c>
      <c r="P689" s="7">
        <v>5.3999999999999951E-3</v>
      </c>
      <c r="Q689" s="7">
        <v>3.2017075773744796E-3</v>
      </c>
      <c r="R689" s="7">
        <v>-1.5584000000000001E-2</v>
      </c>
      <c r="S689" s="7">
        <v>8.0000000000000004E-4</v>
      </c>
    </row>
    <row r="690" spans="1:19" x14ac:dyDescent="0.3">
      <c r="A690" s="3">
        <v>200405</v>
      </c>
      <c r="B690" s="6">
        <f t="shared" si="20"/>
        <v>1.2937140435411387E-2</v>
      </c>
      <c r="C690" s="4">
        <f t="shared" si="21"/>
        <v>1.3029000000000001E-2</v>
      </c>
      <c r="D690" s="5">
        <v>1.6426931267920667E-2</v>
      </c>
      <c r="E690" s="5">
        <v>1.6625425208465036E-2</v>
      </c>
      <c r="F690" s="7">
        <v>4.886913897514604E-2</v>
      </c>
      <c r="G690" s="7">
        <v>0.33614120511259887</v>
      </c>
      <c r="H690" s="7">
        <v>9.776153063593921E-4</v>
      </c>
      <c r="I690" s="7">
        <v>0.28641157389004213</v>
      </c>
      <c r="J690" s="7">
        <v>1.633008253805894E-2</v>
      </c>
      <c r="K690" s="8">
        <v>1.0200000000000001E-2</v>
      </c>
      <c r="L690" s="8">
        <v>5.3900000000000003E-2</v>
      </c>
      <c r="M690" s="8">
        <v>-5.1000000000000004E-3</v>
      </c>
      <c r="N690" s="7">
        <v>4.3700000000000003E-2</v>
      </c>
      <c r="O690" s="7">
        <v>7.1000000000000021E-3</v>
      </c>
      <c r="P690" s="7">
        <v>-2E-3</v>
      </c>
      <c r="Q690" s="7">
        <v>5.8510638297872841E-3</v>
      </c>
      <c r="R690" s="7">
        <v>1.3629E-2</v>
      </c>
      <c r="S690" s="7">
        <v>5.9999999999999995E-4</v>
      </c>
    </row>
    <row r="691" spans="1:19" x14ac:dyDescent="0.3">
      <c r="A691" s="3">
        <v>200406</v>
      </c>
      <c r="B691" s="6">
        <f t="shared" si="20"/>
        <v>1.8500860316812535E-2</v>
      </c>
      <c r="C691" s="4">
        <f t="shared" si="21"/>
        <v>1.8688E-2</v>
      </c>
      <c r="D691" s="5">
        <v>1.6305529259142384E-2</v>
      </c>
      <c r="E691" s="5">
        <v>1.6598850697790622E-2</v>
      </c>
      <c r="F691" s="7">
        <v>4.9218119981767824E-2</v>
      </c>
      <c r="G691" s="7">
        <v>0.33129118432769361</v>
      </c>
      <c r="H691" s="7">
        <v>7.7077038360454911E-4</v>
      </c>
      <c r="I691" s="7">
        <v>0.27963160295453587</v>
      </c>
      <c r="J691" s="7">
        <v>1.4491426386878012E-2</v>
      </c>
      <c r="K691" s="8">
        <v>1.2699999999999999E-2</v>
      </c>
      <c r="L691" s="8">
        <v>5.3199999999999997E-2</v>
      </c>
      <c r="M691" s="8">
        <v>1.21E-2</v>
      </c>
      <c r="N691" s="7">
        <v>4.0499999999999994E-2</v>
      </c>
      <c r="O691" s="7">
        <v>7.6999999999999985E-3</v>
      </c>
      <c r="P691" s="7">
        <v>-2.8000000000000004E-3</v>
      </c>
      <c r="Q691" s="7">
        <v>3.1729243786355887E-3</v>
      </c>
      <c r="R691" s="7">
        <v>1.9487999999999998E-2</v>
      </c>
      <c r="S691" s="7">
        <v>8.0000000000000004E-4</v>
      </c>
    </row>
    <row r="692" spans="1:19" x14ac:dyDescent="0.3">
      <c r="A692" s="3">
        <v>200407</v>
      </c>
      <c r="B692" s="6">
        <f t="shared" si="20"/>
        <v>-3.4508715189817379E-2</v>
      </c>
      <c r="C692" s="4">
        <f t="shared" si="21"/>
        <v>-3.3953999999999998E-2</v>
      </c>
      <c r="D692" s="5">
        <v>1.7054242457248663E-2</v>
      </c>
      <c r="E692" s="5">
        <v>1.6469443567897337E-2</v>
      </c>
      <c r="F692" s="7">
        <v>5.1455905311694437E-2</v>
      </c>
      <c r="G692" s="7">
        <v>0.33143411536426176</v>
      </c>
      <c r="H692" s="7">
        <v>7.7709428708540925E-4</v>
      </c>
      <c r="I692" s="7">
        <v>0.2877883095275901</v>
      </c>
      <c r="J692" s="7">
        <v>1.4720672225233324E-2</v>
      </c>
      <c r="K692" s="8">
        <v>1.3300000000000001E-2</v>
      </c>
      <c r="L692" s="8">
        <v>5.2299999999999999E-2</v>
      </c>
      <c r="M692" s="8">
        <v>1.55E-2</v>
      </c>
      <c r="N692" s="7">
        <v>3.9E-2</v>
      </c>
      <c r="O692" s="7">
        <v>7.9999999999999932E-3</v>
      </c>
      <c r="P692" s="7">
        <v>2.8999999999999998E-3</v>
      </c>
      <c r="Q692" s="7">
        <v>-1.581444385872377E-3</v>
      </c>
      <c r="R692" s="7">
        <v>-3.2953999999999997E-2</v>
      </c>
      <c r="S692" s="7">
        <v>1E-3</v>
      </c>
    </row>
    <row r="693" spans="1:19" x14ac:dyDescent="0.3">
      <c r="A693" s="3">
        <v>200408</v>
      </c>
      <c r="B693" s="6">
        <f t="shared" si="20"/>
        <v>2.7003762717776737E-3</v>
      </c>
      <c r="C693" s="4">
        <f t="shared" si="21"/>
        <v>2.7070000000000002E-3</v>
      </c>
      <c r="D693" s="5">
        <v>1.718466999927552E-2</v>
      </c>
      <c r="E693" s="5">
        <v>1.722397705406092E-2</v>
      </c>
      <c r="F693" s="7">
        <v>5.1827501267840324E-2</v>
      </c>
      <c r="G693" s="7">
        <v>0.33157434911759565</v>
      </c>
      <c r="H693" s="7">
        <v>1.4428520355202347E-3</v>
      </c>
      <c r="I693" s="7">
        <v>0.28682061584915158</v>
      </c>
      <c r="J693" s="7">
        <v>1.4278701542765481E-2</v>
      </c>
      <c r="K693" s="8">
        <v>1.4800000000000001E-2</v>
      </c>
      <c r="L693" s="8">
        <v>4.9299999999999997E-2</v>
      </c>
      <c r="M693" s="8">
        <v>3.95E-2</v>
      </c>
      <c r="N693" s="7">
        <v>3.4499999999999996E-2</v>
      </c>
      <c r="O693" s="7">
        <v>8.100000000000003E-3</v>
      </c>
      <c r="P693" s="7">
        <v>0</v>
      </c>
      <c r="Q693" s="7">
        <v>5.2798310454060804E-4</v>
      </c>
      <c r="R693" s="7">
        <v>3.8070000000000001E-3</v>
      </c>
      <c r="S693" s="7">
        <v>1.1000000000000001E-3</v>
      </c>
    </row>
    <row r="694" spans="1:19" x14ac:dyDescent="0.3">
      <c r="A694" s="3">
        <v>200409</v>
      </c>
      <c r="B694" s="6">
        <f t="shared" si="20"/>
        <v>9.6595193088677683E-3</v>
      </c>
      <c r="C694" s="4">
        <f t="shared" si="21"/>
        <v>9.7169999999999999E-3</v>
      </c>
      <c r="D694" s="5">
        <v>1.7193023381004504E-2</v>
      </c>
      <c r="E694" s="5">
        <v>1.7354017242628413E-2</v>
      </c>
      <c r="F694" s="7">
        <v>5.1831183046528742E-2</v>
      </c>
      <c r="G694" s="7">
        <v>0.33171196122554958</v>
      </c>
      <c r="H694" s="7">
        <v>7.0568318477852508E-4</v>
      </c>
      <c r="I694" s="7">
        <v>0.28948530148498008</v>
      </c>
      <c r="J694" s="7">
        <v>9.1322459980248162E-3</v>
      </c>
      <c r="K694" s="8">
        <v>1.6500000000000001E-2</v>
      </c>
      <c r="L694" s="8">
        <v>4.8800000000000003E-2</v>
      </c>
      <c r="M694" s="8">
        <v>9.5999999999999992E-3</v>
      </c>
      <c r="N694" s="7">
        <v>3.2300000000000002E-2</v>
      </c>
      <c r="O694" s="7">
        <v>8.0999999999999892E-3</v>
      </c>
      <c r="P694" s="7">
        <v>5.0000000000000044E-4</v>
      </c>
      <c r="Q694" s="7">
        <v>2.1108179419524475E-3</v>
      </c>
      <c r="R694" s="7">
        <v>1.0817E-2</v>
      </c>
      <c r="S694" s="7">
        <v>1.1000000000000001E-3</v>
      </c>
    </row>
    <row r="695" spans="1:19" x14ac:dyDescent="0.3">
      <c r="A695" s="3">
        <v>200410</v>
      </c>
      <c r="B695" s="6">
        <f t="shared" si="20"/>
        <v>1.3762615711415339E-2</v>
      </c>
      <c r="C695" s="4">
        <f t="shared" si="21"/>
        <v>1.3873E-2</v>
      </c>
      <c r="D695" s="5">
        <v>1.7037692443815252E-2</v>
      </c>
      <c r="E695" s="5">
        <v>1.7276462882879651E-2</v>
      </c>
      <c r="F695" s="7">
        <v>5.1344894708901079E-2</v>
      </c>
      <c r="G695" s="7">
        <v>0.33182836463897986</v>
      </c>
      <c r="H695" s="7">
        <v>1.2304685240596162E-3</v>
      </c>
      <c r="I695" s="7">
        <v>0.29100959663803533</v>
      </c>
      <c r="J695" s="7">
        <v>7.4288575177898948E-3</v>
      </c>
      <c r="K695" s="8">
        <v>1.7600000000000001E-2</v>
      </c>
      <c r="L695" s="8">
        <v>4.7800000000000002E-2</v>
      </c>
      <c r="M695" s="8">
        <v>1.54E-2</v>
      </c>
      <c r="N695" s="7">
        <v>3.0200000000000001E-2</v>
      </c>
      <c r="O695" s="7">
        <v>7.4000000000000038E-3</v>
      </c>
      <c r="P695" s="7">
        <v>1.0000000000000009E-3</v>
      </c>
      <c r="Q695" s="7">
        <v>5.26592943654558E-3</v>
      </c>
      <c r="R695" s="7">
        <v>1.4973E-2</v>
      </c>
      <c r="S695" s="7">
        <v>1.1000000000000001E-3</v>
      </c>
    </row>
    <row r="696" spans="1:19" x14ac:dyDescent="0.3">
      <c r="A696" s="3">
        <v>200411</v>
      </c>
      <c r="B696" s="6">
        <f t="shared" si="20"/>
        <v>3.8259192628161874E-2</v>
      </c>
      <c r="C696" s="4">
        <f t="shared" si="21"/>
        <v>3.9058999999999996E-2</v>
      </c>
      <c r="D696" s="5">
        <v>1.6483787974306111E-2</v>
      </c>
      <c r="E696" s="5">
        <v>1.7119978764820385E-2</v>
      </c>
      <c r="F696" s="7">
        <v>4.9658380330885488E-2</v>
      </c>
      <c r="G696" s="7">
        <v>0.33194372962772345</v>
      </c>
      <c r="H696" s="7">
        <v>8.5742555277373259E-4</v>
      </c>
      <c r="I696" s="7">
        <v>0.27983164589250886</v>
      </c>
      <c r="J696" s="7">
        <v>1.2176906921704743E-2</v>
      </c>
      <c r="K696" s="8">
        <v>2.07E-2</v>
      </c>
      <c r="L696" s="8">
        <v>5.0200000000000002E-2</v>
      </c>
      <c r="M696" s="8">
        <v>-2.3400000000000001E-2</v>
      </c>
      <c r="N696" s="7">
        <v>2.9500000000000002E-2</v>
      </c>
      <c r="O696" s="7">
        <v>6.8000000000000005E-3</v>
      </c>
      <c r="P696" s="7">
        <v>3.4000000000000002E-3</v>
      </c>
      <c r="Q696" s="7">
        <v>5.238344683080598E-4</v>
      </c>
      <c r="R696" s="7">
        <v>4.0558999999999998E-2</v>
      </c>
      <c r="S696" s="7">
        <v>1.5E-3</v>
      </c>
    </row>
    <row r="697" spans="1:19" x14ac:dyDescent="0.3">
      <c r="A697" s="3">
        <v>200412</v>
      </c>
      <c r="B697" s="6">
        <f t="shared" si="20"/>
        <v>3.1578768242299216E-2</v>
      </c>
      <c r="C697" s="4">
        <f t="shared" si="21"/>
        <v>3.2134000000000003E-2</v>
      </c>
      <c r="D697" s="5">
        <v>1.6042313023961977E-2</v>
      </c>
      <c r="E697" s="5">
        <v>1.6563016476120702E-2</v>
      </c>
      <c r="F697" s="7">
        <v>4.831176975377912E-2</v>
      </c>
      <c r="G697" s="7">
        <v>0.33205807002561916</v>
      </c>
      <c r="H697" s="7">
        <v>7.2785019890025243E-4</v>
      </c>
      <c r="I697" s="7">
        <v>0.27061924267899223</v>
      </c>
      <c r="J697" s="7">
        <v>1.3001511408065171E-2</v>
      </c>
      <c r="K697" s="8">
        <v>2.1899999999999999E-2</v>
      </c>
      <c r="L697" s="8">
        <v>4.8399999999999999E-2</v>
      </c>
      <c r="M697" s="8">
        <v>2.5000000000000001E-2</v>
      </c>
      <c r="N697" s="7">
        <v>2.6499999999999999E-2</v>
      </c>
      <c r="O697" s="7">
        <v>6.8000000000000074E-3</v>
      </c>
      <c r="P697" s="7">
        <v>6.9999999999999923E-4</v>
      </c>
      <c r="Q697" s="7">
        <v>-3.6649214659685292E-3</v>
      </c>
      <c r="R697" s="7">
        <v>3.3734E-2</v>
      </c>
      <c r="S697" s="7">
        <v>1.6000000000000001E-3</v>
      </c>
    </row>
    <row r="698" spans="1:19" x14ac:dyDescent="0.3">
      <c r="A698" s="3">
        <v>200501</v>
      </c>
      <c r="B698" s="6">
        <f t="shared" si="20"/>
        <v>-2.5711102321004899E-2</v>
      </c>
      <c r="C698" s="4">
        <f t="shared" si="21"/>
        <v>-2.5424000000000002E-2</v>
      </c>
      <c r="D698" s="5">
        <v>1.6679505955454726E-2</v>
      </c>
      <c r="E698" s="5">
        <v>1.6257673773846459E-2</v>
      </c>
      <c r="F698" s="7">
        <v>5.0036542591166008E-2</v>
      </c>
      <c r="G698" s="7">
        <v>0.33334649221745999</v>
      </c>
      <c r="H698" s="7">
        <v>8.214051254810047E-4</v>
      </c>
      <c r="I698" s="7">
        <v>0.2781798561288244</v>
      </c>
      <c r="J698" s="7">
        <v>1.3545494338363395E-2</v>
      </c>
      <c r="K698" s="8">
        <v>2.3300000000000001E-2</v>
      </c>
      <c r="L698" s="8">
        <v>4.65E-2</v>
      </c>
      <c r="M698" s="8">
        <v>0.03</v>
      </c>
      <c r="N698" s="7">
        <v>2.3199999999999998E-2</v>
      </c>
      <c r="O698" s="7">
        <v>6.5999999999999948E-3</v>
      </c>
      <c r="P698" s="7">
        <v>-2.3E-3</v>
      </c>
      <c r="Q698" s="7">
        <v>2.1019442984759884E-3</v>
      </c>
      <c r="R698" s="7">
        <v>-2.3824000000000001E-2</v>
      </c>
      <c r="S698" s="7">
        <v>1.6000000000000001E-3</v>
      </c>
    </row>
    <row r="699" spans="1:19" x14ac:dyDescent="0.3">
      <c r="A699" s="3">
        <v>200502</v>
      </c>
      <c r="B699" s="6">
        <f t="shared" si="20"/>
        <v>1.933268039152999E-2</v>
      </c>
      <c r="C699" s="4">
        <f t="shared" si="21"/>
        <v>1.9552E-2</v>
      </c>
      <c r="D699" s="5">
        <v>1.6586905948820209E-2</v>
      </c>
      <c r="E699" s="5">
        <v>1.6900454595477749E-2</v>
      </c>
      <c r="F699" s="7">
        <v>4.9570732247701345E-2</v>
      </c>
      <c r="G699" s="7">
        <v>0.33461087211576068</v>
      </c>
      <c r="H699" s="7">
        <v>8.3444374675235139E-4</v>
      </c>
      <c r="I699" s="7">
        <v>0.27104102364523147</v>
      </c>
      <c r="J699" s="7">
        <v>1.1758410311796927E-2</v>
      </c>
      <c r="K699" s="8">
        <v>2.5399999999999999E-2</v>
      </c>
      <c r="L699" s="8">
        <v>4.7899999999999998E-2</v>
      </c>
      <c r="M699" s="8">
        <v>-1.2800000000000001E-2</v>
      </c>
      <c r="N699" s="7">
        <v>2.2499999999999999E-2</v>
      </c>
      <c r="O699" s="7">
        <v>6.1999999999999972E-3</v>
      </c>
      <c r="P699" s="7">
        <v>1.6000000000000007E-3</v>
      </c>
      <c r="Q699" s="7">
        <v>5.7682223387520715E-3</v>
      </c>
      <c r="R699" s="7">
        <v>2.1152000000000001E-2</v>
      </c>
      <c r="S699" s="7">
        <v>1.6000000000000001E-3</v>
      </c>
    </row>
    <row r="700" spans="1:19" x14ac:dyDescent="0.3">
      <c r="A700" s="3">
        <v>200503</v>
      </c>
      <c r="B700" s="6">
        <f t="shared" si="20"/>
        <v>-1.9488137286228328E-2</v>
      </c>
      <c r="C700" s="4">
        <f t="shared" si="21"/>
        <v>-1.934E-2</v>
      </c>
      <c r="D700" s="5">
        <v>1.7131264876036559E-2</v>
      </c>
      <c r="E700" s="5">
        <v>1.6803755400465272E-2</v>
      </c>
      <c r="F700" s="7">
        <v>5.1008394108030736E-2</v>
      </c>
      <c r="G700" s="7">
        <v>0.33585187645300568</v>
      </c>
      <c r="H700" s="7">
        <v>8.5989459647531851E-4</v>
      </c>
      <c r="I700" s="7">
        <v>0.31985688934248308</v>
      </c>
      <c r="J700" s="7">
        <v>9.097227294608809E-3</v>
      </c>
      <c r="K700" s="8">
        <v>2.7400000000000001E-2</v>
      </c>
      <c r="L700" s="8">
        <v>4.8800000000000003E-2</v>
      </c>
      <c r="M700" s="8">
        <v>-7.1999999999999998E-3</v>
      </c>
      <c r="N700" s="7">
        <v>2.1400000000000002E-2</v>
      </c>
      <c r="O700" s="7">
        <v>6.5999999999999878E-3</v>
      </c>
      <c r="P700" s="7">
        <v>-5.3000000000000009E-3</v>
      </c>
      <c r="Q700" s="7">
        <v>7.8206465067778286E-3</v>
      </c>
      <c r="R700" s="7">
        <v>-1.7239999999999998E-2</v>
      </c>
      <c r="S700" s="7">
        <v>2.0999999999999999E-3</v>
      </c>
    </row>
    <row r="701" spans="1:19" x14ac:dyDescent="0.3">
      <c r="A701" s="3">
        <v>200504</v>
      </c>
      <c r="B701" s="6">
        <f t="shared" si="20"/>
        <v>-2.1205187112466686E-2</v>
      </c>
      <c r="C701" s="4">
        <f t="shared" si="21"/>
        <v>-2.1026E-2</v>
      </c>
      <c r="D701" s="5">
        <v>1.768451686332138E-2</v>
      </c>
      <c r="E701" s="5">
        <v>1.7328906168384738E-2</v>
      </c>
      <c r="F701" s="7">
        <v>5.2931091613721171E-2</v>
      </c>
      <c r="G701" s="7">
        <v>0.33410451823625481</v>
      </c>
      <c r="H701" s="7">
        <v>1.8258937395814823E-3</v>
      </c>
      <c r="I701" s="7">
        <v>0.32962440066283966</v>
      </c>
      <c r="J701" s="7">
        <v>7.9355635325573156E-3</v>
      </c>
      <c r="K701" s="8">
        <v>2.7799999999999998E-2</v>
      </c>
      <c r="L701" s="8">
        <v>4.6100000000000002E-2</v>
      </c>
      <c r="M701" s="8">
        <v>3.73E-2</v>
      </c>
      <c r="N701" s="7">
        <v>1.8300000000000004E-2</v>
      </c>
      <c r="O701" s="7">
        <v>7.1999999999999981E-3</v>
      </c>
      <c r="P701" s="7">
        <v>-4.5999999999999999E-3</v>
      </c>
      <c r="Q701" s="7">
        <v>6.7252974650799935E-3</v>
      </c>
      <c r="R701" s="7">
        <v>-1.8925999999999998E-2</v>
      </c>
      <c r="S701" s="7">
        <v>2.0999999999999999E-3</v>
      </c>
    </row>
    <row r="702" spans="1:19" x14ac:dyDescent="0.3">
      <c r="A702" s="3">
        <v>200505</v>
      </c>
      <c r="B702" s="6">
        <f t="shared" si="20"/>
        <v>2.9095728489260151E-2</v>
      </c>
      <c r="C702" s="4">
        <f t="shared" si="21"/>
        <v>2.9594000000000002E-2</v>
      </c>
      <c r="D702" s="5">
        <v>1.7366065183941813E-2</v>
      </c>
      <c r="E702" s="5">
        <v>1.7886214000662724E-2</v>
      </c>
      <c r="F702" s="7">
        <v>5.2242271646384113E-2</v>
      </c>
      <c r="G702" s="7">
        <v>0.33241405162257687</v>
      </c>
      <c r="H702" s="7">
        <v>8.5941595810016982E-4</v>
      </c>
      <c r="I702" s="7">
        <v>0.32096550459136297</v>
      </c>
      <c r="J702" s="7">
        <v>4.7766144605338587E-3</v>
      </c>
      <c r="K702" s="8">
        <v>2.8399999999999998E-2</v>
      </c>
      <c r="L702" s="8">
        <v>4.3999999999999997E-2</v>
      </c>
      <c r="M702" s="8">
        <v>2.9700000000000001E-2</v>
      </c>
      <c r="N702" s="7">
        <v>1.5599999999999999E-2</v>
      </c>
      <c r="O702" s="7">
        <v>8.5999999999999965E-3</v>
      </c>
      <c r="P702" s="7">
        <v>-2.0000000000000226E-4</v>
      </c>
      <c r="Q702" s="7">
        <v>-1.0277492291880241E-3</v>
      </c>
      <c r="R702" s="7">
        <v>3.1994000000000002E-2</v>
      </c>
      <c r="S702" s="7">
        <v>2.3999999999999998E-3</v>
      </c>
    </row>
    <row r="703" spans="1:19" x14ac:dyDescent="0.3">
      <c r="A703" s="3">
        <v>200506</v>
      </c>
      <c r="B703" s="6">
        <f t="shared" si="20"/>
        <v>-5.8183140806371248E-4</v>
      </c>
      <c r="C703" s="4">
        <f t="shared" si="21"/>
        <v>-5.8299999999999997E-4</v>
      </c>
      <c r="D703" s="5">
        <v>1.7564402810304452E-2</v>
      </c>
      <c r="E703" s="5">
        <v>1.756189676877885E-2</v>
      </c>
      <c r="F703" s="7">
        <v>5.3100316453039878E-2</v>
      </c>
      <c r="G703" s="7">
        <v>0.33077774264938353</v>
      </c>
      <c r="H703" s="7">
        <v>5.4211870585804938E-4</v>
      </c>
      <c r="I703" s="7">
        <v>0.32697905687315876</v>
      </c>
      <c r="J703" s="7">
        <v>5.3656583293445947E-3</v>
      </c>
      <c r="K703" s="8">
        <v>2.9700000000000001E-2</v>
      </c>
      <c r="L703" s="8">
        <v>4.2900000000000001E-2</v>
      </c>
      <c r="M703" s="8">
        <v>1.67E-2</v>
      </c>
      <c r="N703" s="7">
        <v>1.32E-2</v>
      </c>
      <c r="O703" s="7">
        <v>9.000000000000008E-3</v>
      </c>
      <c r="P703" s="7">
        <v>-2.5999999999999999E-3</v>
      </c>
      <c r="Q703" s="7">
        <v>5.1440329218110925E-4</v>
      </c>
      <c r="R703" s="7">
        <v>1.717E-3</v>
      </c>
      <c r="S703" s="7">
        <v>2.3E-3</v>
      </c>
    </row>
    <row r="704" spans="1:19" x14ac:dyDescent="0.3">
      <c r="A704" s="3">
        <v>200507</v>
      </c>
      <c r="B704" s="6">
        <f t="shared" si="20"/>
        <v>3.4285755593342779E-2</v>
      </c>
      <c r="C704" s="4">
        <f t="shared" si="21"/>
        <v>3.4964000000000002E-2</v>
      </c>
      <c r="D704" s="5">
        <v>1.710204346205578E-2</v>
      </c>
      <c r="E704" s="5">
        <v>1.7717173243349874E-2</v>
      </c>
      <c r="F704" s="7">
        <v>5.2123677259394895E-2</v>
      </c>
      <c r="G704" s="7">
        <v>0.32810508316493087</v>
      </c>
      <c r="H704" s="7">
        <v>6.4990818199600305E-4</v>
      </c>
      <c r="I704" s="7">
        <v>0.31573427460621317</v>
      </c>
      <c r="J704" s="7">
        <v>4.4800773466186234E-3</v>
      </c>
      <c r="K704" s="8">
        <v>3.2199999999999999E-2</v>
      </c>
      <c r="L704" s="8">
        <v>4.5600000000000002E-2</v>
      </c>
      <c r="M704" s="8">
        <v>-2.8799999999999999E-2</v>
      </c>
      <c r="N704" s="7">
        <v>1.3400000000000002E-2</v>
      </c>
      <c r="O704" s="7">
        <v>8.9000000000000051E-3</v>
      </c>
      <c r="P704" s="7">
        <v>4.3999999999999977E-3</v>
      </c>
      <c r="Q704" s="7">
        <v>4.6272493573265017E-3</v>
      </c>
      <c r="R704" s="7">
        <v>3.7364000000000001E-2</v>
      </c>
      <c r="S704" s="7">
        <v>2.3999999999999998E-3</v>
      </c>
    </row>
    <row r="705" spans="1:19" x14ac:dyDescent="0.3">
      <c r="A705" s="3">
        <v>200508</v>
      </c>
      <c r="B705" s="6">
        <f t="shared" si="20"/>
        <v>-1.2196710500425954E-2</v>
      </c>
      <c r="C705" s="4">
        <f t="shared" si="21"/>
        <v>-1.2159E-2</v>
      </c>
      <c r="D705" s="5">
        <v>1.7445281194431016E-2</v>
      </c>
      <c r="E705" s="5">
        <v>1.7249509795977898E-2</v>
      </c>
      <c r="F705" s="7">
        <v>5.3592061163783573E-2</v>
      </c>
      <c r="G705" s="7">
        <v>0.32551987767584095</v>
      </c>
      <c r="H705" s="7">
        <v>6.9672337650219813E-4</v>
      </c>
      <c r="I705" s="7">
        <v>0.32053312471378415</v>
      </c>
      <c r="J705" s="7">
        <v>5.4049382593725961E-3</v>
      </c>
      <c r="K705" s="8">
        <v>3.44E-2</v>
      </c>
      <c r="L705" s="8">
        <v>4.3200000000000002E-2</v>
      </c>
      <c r="M705" s="8">
        <v>3.3300000000000003E-2</v>
      </c>
      <c r="N705" s="7">
        <v>8.8000000000000023E-3</v>
      </c>
      <c r="O705" s="7">
        <v>8.6999999999999994E-3</v>
      </c>
      <c r="P705" s="7">
        <v>-1.0000000000000002E-2</v>
      </c>
      <c r="Q705" s="7">
        <v>5.1177072671442225E-3</v>
      </c>
      <c r="R705" s="7">
        <v>-9.1590000000000005E-3</v>
      </c>
      <c r="S705" s="7">
        <v>3.0000000000000001E-3</v>
      </c>
    </row>
    <row r="706" spans="1:19" x14ac:dyDescent="0.3">
      <c r="A706" s="3">
        <v>200509</v>
      </c>
      <c r="B706" s="6">
        <f t="shared" si="20"/>
        <v>5.1388325822031948E-3</v>
      </c>
      <c r="C706" s="4">
        <f t="shared" si="21"/>
        <v>5.1669999999999997E-3</v>
      </c>
      <c r="D706" s="5">
        <v>1.7473002335592975E-2</v>
      </c>
      <c r="E706" s="5">
        <v>1.7594421181155923E-2</v>
      </c>
      <c r="F706" s="7">
        <v>5.4092984269333746E-2</v>
      </c>
      <c r="G706" s="7">
        <v>0.32301790281329928</v>
      </c>
      <c r="H706" s="7">
        <v>6.5990069329737962E-4</v>
      </c>
      <c r="I706" s="7">
        <v>0.31789150983564674</v>
      </c>
      <c r="J706" s="7">
        <v>6.7164136761216674E-3</v>
      </c>
      <c r="K706" s="8">
        <v>3.4200000000000001E-2</v>
      </c>
      <c r="L706" s="8">
        <v>4.6399999999999997E-2</v>
      </c>
      <c r="M706" s="8">
        <v>-3.3799999999999997E-2</v>
      </c>
      <c r="N706" s="7">
        <v>1.2199999999999996E-2</v>
      </c>
      <c r="O706" s="7">
        <v>9.0000000000000011E-3</v>
      </c>
      <c r="P706" s="7">
        <v>2.7999999999999969E-3</v>
      </c>
      <c r="Q706" s="7">
        <v>1.2219959266802416E-2</v>
      </c>
      <c r="R706" s="7">
        <v>8.0669999999999995E-3</v>
      </c>
      <c r="S706" s="7">
        <v>2.8999999999999998E-3</v>
      </c>
    </row>
    <row r="707" spans="1:19" x14ac:dyDescent="0.3">
      <c r="A707" s="3">
        <v>200510</v>
      </c>
      <c r="B707" s="6">
        <f t="shared" ref="B707:B770" si="22">LN(R707+1) - LN(S707+1)</f>
        <v>-1.8492465687505809E-2</v>
      </c>
      <c r="C707" s="4">
        <f t="shared" ref="C707:C770" si="23">R707 - S707</f>
        <v>-1.8371999999999999E-2</v>
      </c>
      <c r="D707" s="5">
        <v>1.799432758082645E-2</v>
      </c>
      <c r="E707" s="5">
        <v>1.7675094874987456E-2</v>
      </c>
      <c r="F707" s="7">
        <v>5.5997879056511546E-2</v>
      </c>
      <c r="G707" s="7">
        <v>0.32133944863638608</v>
      </c>
      <c r="H707" s="7">
        <v>1.8179863199098705E-3</v>
      </c>
      <c r="I707" s="7">
        <v>0.32180818710985654</v>
      </c>
      <c r="J707" s="7">
        <v>5.7493077934363092E-3</v>
      </c>
      <c r="K707" s="8">
        <v>3.7100000000000001E-2</v>
      </c>
      <c r="L707" s="8">
        <v>4.8399999999999999E-2</v>
      </c>
      <c r="M707" s="8">
        <v>-1.9599999999999999E-2</v>
      </c>
      <c r="N707" s="7">
        <v>1.1299999999999998E-2</v>
      </c>
      <c r="O707" s="7">
        <v>9.5000000000000015E-3</v>
      </c>
      <c r="P707" s="7">
        <v>-8.000000000000021E-4</v>
      </c>
      <c r="Q707" s="7">
        <v>2.012072434607548E-3</v>
      </c>
      <c r="R707" s="7">
        <v>-1.5671999999999998E-2</v>
      </c>
      <c r="S707" s="7">
        <v>2.7000000000000001E-3</v>
      </c>
    </row>
    <row r="708" spans="1:19" x14ac:dyDescent="0.3">
      <c r="A708" s="3">
        <v>200511</v>
      </c>
      <c r="B708" s="6">
        <f t="shared" si="22"/>
        <v>3.447896112326377E-2</v>
      </c>
      <c r="C708" s="4">
        <f t="shared" si="23"/>
        <v>3.5188999999999998E-2</v>
      </c>
      <c r="D708" s="5">
        <v>1.7581447215374933E-2</v>
      </c>
      <c r="E708" s="5">
        <v>1.8200070145787253E-2</v>
      </c>
      <c r="F708" s="7">
        <v>5.4990876204501077E-2</v>
      </c>
      <c r="G708" s="7">
        <v>0.31971571338475718</v>
      </c>
      <c r="H708" s="7">
        <v>5.3989891190620476E-4</v>
      </c>
      <c r="I708" s="7">
        <v>0.31091434562881098</v>
      </c>
      <c r="J708" s="7">
        <v>5.7679708633047513E-3</v>
      </c>
      <c r="K708" s="8">
        <v>3.8800000000000001E-2</v>
      </c>
      <c r="L708" s="8">
        <v>4.8099999999999997E-2</v>
      </c>
      <c r="M708" s="8">
        <v>7.6E-3</v>
      </c>
      <c r="N708" s="7">
        <v>9.2999999999999958E-3</v>
      </c>
      <c r="O708" s="7">
        <v>9.7000000000000003E-3</v>
      </c>
      <c r="P708" s="7">
        <v>2.3000000000000008E-3</v>
      </c>
      <c r="Q708" s="7">
        <v>-8.0321285140562138E-3</v>
      </c>
      <c r="R708" s="7">
        <v>3.8288999999999997E-2</v>
      </c>
      <c r="S708" s="7">
        <v>3.0999999999999999E-3</v>
      </c>
    </row>
    <row r="709" spans="1:19" x14ac:dyDescent="0.3">
      <c r="A709" s="3">
        <v>200512</v>
      </c>
      <c r="B709" s="6">
        <f t="shared" si="22"/>
        <v>-3.254892696591241E-3</v>
      </c>
      <c r="C709" s="4">
        <f t="shared" si="23"/>
        <v>-3.2600000000000003E-3</v>
      </c>
      <c r="D709" s="5">
        <v>1.7797146496407085E-2</v>
      </c>
      <c r="E709" s="5">
        <v>1.7780196561769698E-2</v>
      </c>
      <c r="F709" s="7">
        <v>5.5940526640444126E-2</v>
      </c>
      <c r="G709" s="7">
        <v>0.31814406415580698</v>
      </c>
      <c r="H709" s="7">
        <v>4.3299762004706769E-4</v>
      </c>
      <c r="I709" s="7">
        <v>0.31347795661301608</v>
      </c>
      <c r="J709" s="7">
        <v>3.0588818931879349E-3</v>
      </c>
      <c r="K709" s="8">
        <v>3.8900000000000004E-2</v>
      </c>
      <c r="L709" s="8">
        <v>4.6100000000000002E-2</v>
      </c>
      <c r="M709" s="8">
        <v>2.6700000000000002E-2</v>
      </c>
      <c r="N709" s="7">
        <v>7.1999999999999981E-3</v>
      </c>
      <c r="O709" s="7">
        <v>9.5000000000000084E-3</v>
      </c>
      <c r="P709" s="7">
        <v>-4.2000000000000023E-3</v>
      </c>
      <c r="Q709" s="7">
        <v>-4.0485829959513442E-3</v>
      </c>
      <c r="R709" s="7">
        <v>-6.0000000000000002E-5</v>
      </c>
      <c r="S709" s="7">
        <v>3.2000000000000002E-3</v>
      </c>
    </row>
    <row r="710" spans="1:19" x14ac:dyDescent="0.3">
      <c r="A710" s="2">
        <v>200601</v>
      </c>
      <c r="B710" s="6">
        <f t="shared" si="22"/>
        <v>2.2604563947252614E-2</v>
      </c>
      <c r="C710" s="4">
        <f t="shared" si="23"/>
        <v>2.2942000000000001E-2</v>
      </c>
      <c r="D710" s="5">
        <v>1.7503072724621382E-2</v>
      </c>
      <c r="E710" s="5">
        <v>1.7948820653320412E-2</v>
      </c>
      <c r="F710" s="7">
        <v>5.5290815157386E-2</v>
      </c>
      <c r="G710" s="7">
        <v>0.31656383930673954</v>
      </c>
      <c r="H710" s="7">
        <v>9.7542520355785192E-4</v>
      </c>
      <c r="I710" s="7">
        <v>0.30922625786250346</v>
      </c>
      <c r="J710" s="7">
        <v>-4.4573727287991092E-4</v>
      </c>
      <c r="K710" s="8">
        <v>4.24E-2</v>
      </c>
      <c r="L710" s="8">
        <v>4.7399999999999998E-2</v>
      </c>
      <c r="M710" s="8">
        <v>-1.18E-2</v>
      </c>
      <c r="N710" s="7">
        <v>4.9999999999999975E-3</v>
      </c>
      <c r="O710" s="7">
        <v>9.5000000000000015E-3</v>
      </c>
      <c r="P710" s="7">
        <v>2.5000000000000005E-3</v>
      </c>
      <c r="Q710" s="7">
        <v>7.6219512195121464E-3</v>
      </c>
      <c r="R710" s="7">
        <v>2.6442E-2</v>
      </c>
      <c r="S710" s="7">
        <v>3.4999999999999996E-3</v>
      </c>
    </row>
    <row r="711" spans="1:19" x14ac:dyDescent="0.3">
      <c r="A711" s="2">
        <v>200602</v>
      </c>
      <c r="B711" s="6">
        <f t="shared" si="22"/>
        <v>-9.7216863563920819E-4</v>
      </c>
      <c r="C711" s="4">
        <f t="shared" si="23"/>
        <v>-9.7500000000000017E-4</v>
      </c>
      <c r="D711" s="5">
        <v>1.7642986168590152E-2</v>
      </c>
      <c r="E711" s="5">
        <v>1.7650980147074141E-2</v>
      </c>
      <c r="F711" s="7">
        <v>5.6004976600606972E-2</v>
      </c>
      <c r="G711" s="7">
        <v>0.31502532880977829</v>
      </c>
      <c r="H711" s="7">
        <v>6.485364099820686E-4</v>
      </c>
      <c r="I711" s="7">
        <v>0.30561036111634149</v>
      </c>
      <c r="J711" s="7">
        <v>2.0383310257279211E-3</v>
      </c>
      <c r="K711" s="8">
        <v>4.4299999999999999E-2</v>
      </c>
      <c r="L711" s="8">
        <v>4.5699999999999998E-2</v>
      </c>
      <c r="M711" s="8">
        <v>2.3800000000000002E-2</v>
      </c>
      <c r="N711" s="7">
        <v>1.3999999999999985E-3</v>
      </c>
      <c r="O711" s="7">
        <v>9.1999999999999929E-3</v>
      </c>
      <c r="P711" s="7">
        <v>-1.1000000000000001E-2</v>
      </c>
      <c r="Q711" s="7">
        <v>2.0171457387794245E-3</v>
      </c>
      <c r="R711" s="7">
        <v>2.4250000000000001E-3</v>
      </c>
      <c r="S711" s="7">
        <v>3.4000000000000002E-3</v>
      </c>
    </row>
    <row r="712" spans="1:19" x14ac:dyDescent="0.3">
      <c r="A712" s="2">
        <v>200603</v>
      </c>
      <c r="B712" s="6">
        <f t="shared" si="22"/>
        <v>9.1332172121379937E-3</v>
      </c>
      <c r="C712" s="4">
        <f t="shared" si="23"/>
        <v>9.2090000000000002E-3</v>
      </c>
      <c r="D712" s="5">
        <v>1.7595588746360639E-2</v>
      </c>
      <c r="E712" s="5">
        <v>1.7790826605031777E-2</v>
      </c>
      <c r="F712" s="7">
        <v>5.6121463930742091E-2</v>
      </c>
      <c r="G712" s="7">
        <v>0.31352690243566805</v>
      </c>
      <c r="H712" s="7">
        <v>5.4525077589459992E-4</v>
      </c>
      <c r="I712" s="7">
        <v>0.31600944072184439</v>
      </c>
      <c r="J712" s="7">
        <v>2.1519974810766986E-3</v>
      </c>
      <c r="K712" s="8">
        <v>4.5100000000000001E-2</v>
      </c>
      <c r="L712" s="8">
        <v>5.0700000000000002E-2</v>
      </c>
      <c r="M712" s="8">
        <v>-5.3900000000000003E-2</v>
      </c>
      <c r="N712" s="7">
        <v>5.6000000000000008E-3</v>
      </c>
      <c r="O712" s="7">
        <v>8.8000000000000023E-3</v>
      </c>
      <c r="P712" s="7">
        <v>1.3500000000000005E-2</v>
      </c>
      <c r="Q712" s="7">
        <v>5.5359838953197293E-3</v>
      </c>
      <c r="R712" s="7">
        <v>1.2909E-2</v>
      </c>
      <c r="S712" s="7">
        <v>3.7000000000000002E-3</v>
      </c>
    </row>
    <row r="713" spans="1:19" x14ac:dyDescent="0.3">
      <c r="A713" s="2">
        <v>200604</v>
      </c>
      <c r="B713" s="6">
        <f t="shared" si="22"/>
        <v>8.3982744622285409E-3</v>
      </c>
      <c r="C713" s="4">
        <f t="shared" si="23"/>
        <v>8.4639999999999993E-3</v>
      </c>
      <c r="D713" s="5">
        <v>1.7550351871774721E-2</v>
      </c>
      <c r="E713" s="5">
        <v>1.7763687989270482E-2</v>
      </c>
      <c r="F713" s="7">
        <v>5.5910352176976125E-2</v>
      </c>
      <c r="G713" s="7">
        <v>0.31390165127598596</v>
      </c>
      <c r="H713" s="7">
        <v>5.9980729319040061E-4</v>
      </c>
      <c r="I713" s="7">
        <v>0.30884197784139195</v>
      </c>
      <c r="J713" s="7">
        <v>-3.4725176469549372E-3</v>
      </c>
      <c r="K713" s="8">
        <v>4.5999999999999999E-2</v>
      </c>
      <c r="L713" s="8">
        <v>5.3199999999999997E-2</v>
      </c>
      <c r="M713" s="8">
        <v>-2.47E-2</v>
      </c>
      <c r="N713" s="7">
        <v>7.1999999999999981E-3</v>
      </c>
      <c r="O713" s="7">
        <v>8.3999999999999977E-3</v>
      </c>
      <c r="P713" s="7">
        <v>2.3E-3</v>
      </c>
      <c r="Q713" s="7">
        <v>8.5085085085083723E-3</v>
      </c>
      <c r="R713" s="7">
        <v>1.2064E-2</v>
      </c>
      <c r="S713" s="7">
        <v>3.5999999999999999E-3</v>
      </c>
    </row>
    <row r="714" spans="1:19" x14ac:dyDescent="0.3">
      <c r="A714" s="2">
        <v>200605</v>
      </c>
      <c r="B714" s="6">
        <f t="shared" si="22"/>
        <v>-3.3018499105159978E-2</v>
      </c>
      <c r="C714" s="4">
        <f t="shared" si="23"/>
        <v>-3.2619000000000002E-2</v>
      </c>
      <c r="D714" s="5">
        <v>1.8281644082965252E-2</v>
      </c>
      <c r="E714" s="5">
        <v>1.7716432297428936E-2</v>
      </c>
      <c r="F714" s="7">
        <v>5.8171730612266319E-2</v>
      </c>
      <c r="G714" s="7">
        <v>0.31427024588314917</v>
      </c>
      <c r="H714" s="7">
        <v>1.3551637127247164E-3</v>
      </c>
      <c r="I714" s="7">
        <v>0.3143403075308619</v>
      </c>
      <c r="J714" s="7">
        <v>-2.6567367070998112E-3</v>
      </c>
      <c r="K714" s="8">
        <v>4.7199999999999999E-2</v>
      </c>
      <c r="L714" s="8">
        <v>5.3499999999999999E-2</v>
      </c>
      <c r="M714" s="8">
        <v>1E-3</v>
      </c>
      <c r="N714" s="7">
        <v>6.3E-3</v>
      </c>
      <c r="O714" s="7">
        <v>8.0000000000000002E-3</v>
      </c>
      <c r="P714" s="7">
        <v>-3.0000000000000001E-3</v>
      </c>
      <c r="Q714" s="7">
        <v>4.9627791563275903E-3</v>
      </c>
      <c r="R714" s="7">
        <v>-2.8319E-2</v>
      </c>
      <c r="S714" s="7">
        <v>4.3E-3</v>
      </c>
    </row>
    <row r="715" spans="1:19" x14ac:dyDescent="0.3">
      <c r="A715" s="2">
        <v>200606</v>
      </c>
      <c r="B715" s="6">
        <f t="shared" si="22"/>
        <v>-2.4062792232982374E-3</v>
      </c>
      <c r="C715" s="4">
        <f t="shared" si="23"/>
        <v>-2.4130000000000002E-3</v>
      </c>
      <c r="D715" s="5">
        <v>1.8451424972445285E-2</v>
      </c>
      <c r="E715" s="5">
        <v>1.8453023014117113E-2</v>
      </c>
      <c r="F715" s="7">
        <v>5.8644307982994796E-2</v>
      </c>
      <c r="G715" s="7">
        <v>0.31463283662236546</v>
      </c>
      <c r="H715" s="7">
        <v>2.1028156555683245E-3</v>
      </c>
      <c r="I715" s="7">
        <v>0.31485028994943598</v>
      </c>
      <c r="J715" s="7">
        <v>-2.1954849368563231E-3</v>
      </c>
      <c r="K715" s="8">
        <v>4.7899999999999998E-2</v>
      </c>
      <c r="L715" s="8">
        <v>5.3100000000000001E-2</v>
      </c>
      <c r="M715" s="8">
        <v>9.1999999999999998E-3</v>
      </c>
      <c r="N715" s="7">
        <v>5.2000000000000032E-3</v>
      </c>
      <c r="O715" s="7">
        <v>8.9000000000000051E-3</v>
      </c>
      <c r="P715" s="7">
        <v>-5.3E-3</v>
      </c>
      <c r="Q715" s="7">
        <v>1.9753086419753707E-3</v>
      </c>
      <c r="R715" s="7">
        <v>1.5870000000000001E-3</v>
      </c>
      <c r="S715" s="7">
        <v>4.0000000000000001E-3</v>
      </c>
    </row>
    <row r="716" spans="1:19" x14ac:dyDescent="0.3">
      <c r="A716" s="2">
        <v>200607</v>
      </c>
      <c r="B716" s="6">
        <f t="shared" si="22"/>
        <v>1.5635181041499914E-3</v>
      </c>
      <c r="C716" s="4">
        <f t="shared" si="23"/>
        <v>1.5710000000000003E-3</v>
      </c>
      <c r="D716" s="5">
        <v>1.8530122872704294E-2</v>
      </c>
      <c r="E716" s="5">
        <v>1.8624363617278119E-2</v>
      </c>
      <c r="F716" s="7">
        <v>5.941284288690802E-2</v>
      </c>
      <c r="G716" s="7">
        <v>0.31188749725335091</v>
      </c>
      <c r="H716" s="7">
        <v>1.4516632187408847E-3</v>
      </c>
      <c r="I716" s="7">
        <v>0.31385217528125248</v>
      </c>
      <c r="J716" s="7">
        <v>-2.3631203057722554E-3</v>
      </c>
      <c r="K716" s="8">
        <v>4.9500000000000002E-2</v>
      </c>
      <c r="L716" s="8">
        <v>5.1799999999999999E-2</v>
      </c>
      <c r="M716" s="8">
        <v>1.9900000000000001E-2</v>
      </c>
      <c r="N716" s="7">
        <v>2.2999999999999965E-3</v>
      </c>
      <c r="O716" s="7">
        <v>9.099999999999997E-3</v>
      </c>
      <c r="P716" s="7">
        <v>3.7999999999999978E-3</v>
      </c>
      <c r="Q716" s="7">
        <v>2.9571217348447476E-3</v>
      </c>
      <c r="R716" s="7">
        <v>5.5710000000000004E-3</v>
      </c>
      <c r="S716" s="7">
        <v>4.0000000000000001E-3</v>
      </c>
    </row>
    <row r="717" spans="1:19" x14ac:dyDescent="0.3">
      <c r="A717" s="2">
        <v>200608</v>
      </c>
      <c r="B717" s="6">
        <f t="shared" si="22"/>
        <v>1.9671795646059451E-2</v>
      </c>
      <c r="C717" s="4">
        <f t="shared" si="23"/>
        <v>1.9950000000000002E-2</v>
      </c>
      <c r="D717" s="5">
        <v>1.8312599387441005E-2</v>
      </c>
      <c r="E717" s="5">
        <v>1.8702186434393909E-2</v>
      </c>
      <c r="F717" s="7">
        <v>5.9218297004187695E-2</v>
      </c>
      <c r="G717" s="7">
        <v>0.30923887233950698</v>
      </c>
      <c r="H717" s="7">
        <v>4.6925153147518912E-4</v>
      </c>
      <c r="I717" s="7">
        <v>0.30846179867588075</v>
      </c>
      <c r="J717" s="7">
        <v>-8.4739858240558737E-3</v>
      </c>
      <c r="K717" s="8">
        <v>4.9599999999999998E-2</v>
      </c>
      <c r="L717" s="8">
        <v>4.9599999999999998E-2</v>
      </c>
      <c r="M717" s="8">
        <v>2.9899999999999999E-2</v>
      </c>
      <c r="N717" s="7">
        <v>0</v>
      </c>
      <c r="O717" s="7">
        <v>9.1000000000000039E-3</v>
      </c>
      <c r="P717" s="7">
        <v>6.2000000000000006E-3</v>
      </c>
      <c r="Q717" s="7">
        <v>1.9656019656020263E-3</v>
      </c>
      <c r="R717" s="7">
        <v>2.4150000000000001E-2</v>
      </c>
      <c r="S717" s="7">
        <v>4.1999999999999997E-3</v>
      </c>
    </row>
    <row r="718" spans="1:19" x14ac:dyDescent="0.3">
      <c r="A718" s="2">
        <v>200609</v>
      </c>
      <c r="B718" s="6">
        <f t="shared" si="22"/>
        <v>2.2050675099833088E-2</v>
      </c>
      <c r="C718" s="4">
        <f t="shared" si="23"/>
        <v>2.2387000000000001E-2</v>
      </c>
      <c r="D718" s="5">
        <v>1.8037953363027284E-2</v>
      </c>
      <c r="E718" s="5">
        <v>1.8481078676504423E-2</v>
      </c>
      <c r="F718" s="7">
        <v>5.8816483886663919E-2</v>
      </c>
      <c r="G718" s="7">
        <v>0.30668193967163038</v>
      </c>
      <c r="H718" s="7">
        <v>5.1339521046218776E-4</v>
      </c>
      <c r="I718" s="7">
        <v>0.30059328354055592</v>
      </c>
      <c r="J718" s="7">
        <v>-9.493491052644543E-3</v>
      </c>
      <c r="K718" s="8">
        <v>4.8099999999999997E-2</v>
      </c>
      <c r="L718" s="8">
        <v>4.8399999999999999E-2</v>
      </c>
      <c r="M718" s="8">
        <v>1.7000000000000001E-2</v>
      </c>
      <c r="N718" s="7">
        <v>3.0000000000000165E-4</v>
      </c>
      <c r="O718" s="7">
        <v>9.1999999999999998E-3</v>
      </c>
      <c r="P718" s="7">
        <v>1.2999999999999991E-3</v>
      </c>
      <c r="Q718" s="7">
        <v>-4.9043648847474364E-3</v>
      </c>
      <c r="R718" s="7">
        <v>2.6487E-2</v>
      </c>
      <c r="S718" s="7">
        <v>4.0999999999999995E-3</v>
      </c>
    </row>
    <row r="719" spans="1:19" x14ac:dyDescent="0.3">
      <c r="A719" s="2">
        <v>200610</v>
      </c>
      <c r="B719" s="6">
        <f t="shared" si="22"/>
        <v>2.7917577728954108E-2</v>
      </c>
      <c r="C719" s="4">
        <f t="shared" si="23"/>
        <v>2.8427000000000001E-2</v>
      </c>
      <c r="D719" s="5">
        <v>1.7677596024984154E-2</v>
      </c>
      <c r="E719" s="5">
        <v>1.8234582226048332E-2</v>
      </c>
      <c r="F719" s="7">
        <v>5.7731105853665615E-2</v>
      </c>
      <c r="G719" s="7">
        <v>0.30620574062434525</v>
      </c>
      <c r="H719" s="7">
        <v>4.5058820816370787E-4</v>
      </c>
      <c r="I719" s="7">
        <v>0.29059916081230192</v>
      </c>
      <c r="J719" s="7">
        <v>-8.9347352566354551E-3</v>
      </c>
      <c r="K719" s="8">
        <v>4.9200000000000001E-2</v>
      </c>
      <c r="L719" s="8">
        <v>4.8099999999999997E-2</v>
      </c>
      <c r="M719" s="8">
        <v>7.7000000000000002E-3</v>
      </c>
      <c r="N719" s="7">
        <v>-1.1000000000000038E-3</v>
      </c>
      <c r="O719" s="7">
        <v>9.099999999999997E-3</v>
      </c>
      <c r="P719" s="7">
        <v>4.9999999999999992E-3</v>
      </c>
      <c r="Q719" s="7">
        <v>-5.4213898472152966E-3</v>
      </c>
      <c r="R719" s="7">
        <v>3.2527E-2</v>
      </c>
      <c r="S719" s="7">
        <v>4.0999999999999995E-3</v>
      </c>
    </row>
    <row r="720" spans="1:19" x14ac:dyDescent="0.3">
      <c r="A720" s="2">
        <v>200611</v>
      </c>
      <c r="B720" s="6">
        <f t="shared" si="22"/>
        <v>1.4026834547473447E-2</v>
      </c>
      <c r="C720" s="4">
        <f t="shared" si="23"/>
        <v>1.4185E-2</v>
      </c>
      <c r="D720" s="5">
        <v>1.7578756226364799E-2</v>
      </c>
      <c r="E720" s="5">
        <v>1.7868218741986828E-2</v>
      </c>
      <c r="F720" s="7">
        <v>5.7495555571421428E-2</v>
      </c>
      <c r="G720" s="7">
        <v>0.30574113166935718</v>
      </c>
      <c r="H720" s="7">
        <v>5.9219511512645069E-4</v>
      </c>
      <c r="I720" s="7">
        <v>0.28724186769192755</v>
      </c>
      <c r="J720" s="7">
        <v>-1.5111029277779107E-2</v>
      </c>
      <c r="K720" s="8">
        <v>4.9400000000000006E-2</v>
      </c>
      <c r="L720" s="8">
        <v>4.6699999999999998E-2</v>
      </c>
      <c r="M720" s="8">
        <v>2.07E-2</v>
      </c>
      <c r="N720" s="7">
        <v>-2.7000000000000079E-3</v>
      </c>
      <c r="O720" s="7">
        <v>8.6999999999999994E-3</v>
      </c>
      <c r="P720" s="7">
        <v>3.9000000000000007E-3</v>
      </c>
      <c r="Q720" s="7">
        <v>-1.4866204162538033E-3</v>
      </c>
      <c r="R720" s="7">
        <v>1.8384999999999999E-2</v>
      </c>
      <c r="S720" s="7">
        <v>4.1999999999999997E-3</v>
      </c>
    </row>
    <row r="721" spans="1:19" x14ac:dyDescent="0.3">
      <c r="A721" s="2">
        <v>200612</v>
      </c>
      <c r="B721" s="6">
        <f t="shared" si="22"/>
        <v>9.6820608772815158E-3</v>
      </c>
      <c r="C721" s="4">
        <f t="shared" si="23"/>
        <v>9.7680000000000006E-3</v>
      </c>
      <c r="D721" s="5">
        <v>1.7544948177395474E-2</v>
      </c>
      <c r="E721" s="5">
        <v>1.776629088338819E-2</v>
      </c>
      <c r="F721" s="7">
        <v>5.7470210815765345E-2</v>
      </c>
      <c r="G721" s="7">
        <v>0.30528769476137901</v>
      </c>
      <c r="H721" s="7">
        <v>3.5753076534906901E-4</v>
      </c>
      <c r="I721" s="7">
        <v>0.28168239971435793</v>
      </c>
      <c r="J721" s="7">
        <v>-1.503677652357727E-2</v>
      </c>
      <c r="K721" s="8">
        <v>4.8499999999999995E-2</v>
      </c>
      <c r="L721" s="8">
        <v>4.9099999999999998E-2</v>
      </c>
      <c r="M721" s="8">
        <v>-2.3599999999999999E-2</v>
      </c>
      <c r="N721" s="7">
        <v>6.0000000000000331E-4</v>
      </c>
      <c r="O721" s="7">
        <v>8.9999999999999941E-3</v>
      </c>
      <c r="P721" s="7">
        <v>4.0000000000000105E-4</v>
      </c>
      <c r="Q721" s="7">
        <v>1.4888337468983437E-3</v>
      </c>
      <c r="R721" s="7">
        <v>1.3768000000000001E-2</v>
      </c>
      <c r="S721" s="7">
        <v>4.0000000000000001E-3</v>
      </c>
    </row>
    <row r="722" spans="1:19" x14ac:dyDescent="0.3">
      <c r="A722" s="2">
        <v>200701</v>
      </c>
      <c r="B722" s="6">
        <f t="shared" si="22"/>
        <v>1.0806591039086409E-2</v>
      </c>
      <c r="C722" s="4">
        <f t="shared" si="23"/>
        <v>1.0912999999999999E-2</v>
      </c>
      <c r="D722" s="5">
        <v>1.7443078577520674E-2</v>
      </c>
      <c r="E722" s="5">
        <v>1.768831229876143E-2</v>
      </c>
      <c r="F722" s="7">
        <v>5.7053528386546516E-2</v>
      </c>
      <c r="G722" s="7">
        <v>0.3057318113498802</v>
      </c>
      <c r="H722" s="7">
        <v>4.5048378439812626E-4</v>
      </c>
      <c r="I722" s="7">
        <v>0.27814421048211452</v>
      </c>
      <c r="J722" s="7">
        <v>-1.3986663521611488E-2</v>
      </c>
      <c r="K722" s="8">
        <v>4.9800000000000004E-2</v>
      </c>
      <c r="L722" s="8">
        <v>5.0200000000000002E-2</v>
      </c>
      <c r="M722" s="8">
        <v>-1.0200000000000001E-2</v>
      </c>
      <c r="N722" s="7">
        <v>3.9999999999999758E-4</v>
      </c>
      <c r="O722" s="7">
        <v>9.3999999999999917E-3</v>
      </c>
      <c r="P722" s="7">
        <v>5.1000000000000004E-3</v>
      </c>
      <c r="Q722" s="7">
        <v>3.0525272547075044E-3</v>
      </c>
      <c r="R722" s="7">
        <v>1.5313E-2</v>
      </c>
      <c r="S722" s="7">
        <v>4.4000000000000003E-3</v>
      </c>
    </row>
    <row r="723" spans="1:19" x14ac:dyDescent="0.3">
      <c r="A723" s="2">
        <v>200702</v>
      </c>
      <c r="B723" s="6">
        <f t="shared" si="22"/>
        <v>-2.3269238739573393E-2</v>
      </c>
      <c r="C723" s="4">
        <f t="shared" si="23"/>
        <v>-2.3088000000000001E-2</v>
      </c>
      <c r="D723" s="5">
        <v>1.7977187320813371E-2</v>
      </c>
      <c r="E723" s="5">
        <v>1.7584455074720954E-2</v>
      </c>
      <c r="F723" s="7">
        <v>5.8716348454907752E-2</v>
      </c>
      <c r="G723" s="7">
        <v>0.30617004963480088</v>
      </c>
      <c r="H723" s="7">
        <v>1.4768551543765929E-3</v>
      </c>
      <c r="I723" s="7">
        <v>0.28614849416764548</v>
      </c>
      <c r="J723" s="7">
        <v>-1.5141021985201225E-2</v>
      </c>
      <c r="K723" s="8">
        <v>5.0300000000000004E-2</v>
      </c>
      <c r="L723" s="8">
        <v>4.7699999999999999E-2</v>
      </c>
      <c r="M723" s="8">
        <v>3.3500000000000002E-2</v>
      </c>
      <c r="N723" s="7">
        <v>-2.6000000000000051E-3</v>
      </c>
      <c r="O723" s="7">
        <v>8.9000000000000121E-3</v>
      </c>
      <c r="P723" s="7">
        <v>-4.8000000000000022E-3</v>
      </c>
      <c r="Q723" s="7">
        <v>5.3503675598767231E-3</v>
      </c>
      <c r="R723" s="7">
        <v>-1.9288E-2</v>
      </c>
      <c r="S723" s="7">
        <v>3.8E-3</v>
      </c>
    </row>
    <row r="724" spans="1:19" x14ac:dyDescent="0.3">
      <c r="A724" s="2">
        <v>200703</v>
      </c>
      <c r="B724" s="6">
        <f t="shared" si="22"/>
        <v>6.5443064379309707E-3</v>
      </c>
      <c r="C724" s="4">
        <f t="shared" si="23"/>
        <v>6.5939999999999992E-3</v>
      </c>
      <c r="D724" s="5">
        <v>1.7942654448714158E-2</v>
      </c>
      <c r="E724" s="5">
        <v>1.8121721328954666E-2</v>
      </c>
      <c r="F724" s="7">
        <v>5.8520895795504131E-2</v>
      </c>
      <c r="G724" s="7">
        <v>0.30660252555622375</v>
      </c>
      <c r="H724" s="7">
        <v>1.5875258859558124E-3</v>
      </c>
      <c r="I724" s="7">
        <v>0.26905001346109259</v>
      </c>
      <c r="J724" s="7">
        <v>-1.2486355834109045E-2</v>
      </c>
      <c r="K724" s="8">
        <v>4.9400000000000006E-2</v>
      </c>
      <c r="L724" s="8">
        <v>4.9299999999999997E-2</v>
      </c>
      <c r="M724" s="8">
        <v>-1.4500000000000001E-2</v>
      </c>
      <c r="N724" s="7">
        <v>-1.000000000000098E-4</v>
      </c>
      <c r="O724" s="7">
        <v>9.6999999999999933E-3</v>
      </c>
      <c r="P724" s="7">
        <v>-8.5999999999999983E-3</v>
      </c>
      <c r="Q724" s="7">
        <v>9.1056958510853381E-3</v>
      </c>
      <c r="R724" s="7">
        <v>1.0893999999999999E-2</v>
      </c>
      <c r="S724" s="7">
        <v>4.3E-3</v>
      </c>
    </row>
    <row r="725" spans="1:19" x14ac:dyDescent="0.3">
      <c r="A725" s="2">
        <v>200704</v>
      </c>
      <c r="B725" s="6">
        <f t="shared" si="22"/>
        <v>3.8660520432340702E-2</v>
      </c>
      <c r="C725" s="4">
        <f t="shared" si="23"/>
        <v>3.9591000000000001E-2</v>
      </c>
      <c r="D725" s="5">
        <v>1.735014425098547E-2</v>
      </c>
      <c r="E725" s="5">
        <v>1.8101243847622801E-2</v>
      </c>
      <c r="F725" s="7">
        <v>5.6490787121236695E-2</v>
      </c>
      <c r="G725" s="7">
        <v>0.30713228006099064</v>
      </c>
      <c r="H725" s="7">
        <v>5.8214615876541528E-4</v>
      </c>
      <c r="I725" s="7">
        <v>0.25445616893961986</v>
      </c>
      <c r="J725" s="7">
        <v>-8.9119008104667566E-3</v>
      </c>
      <c r="K725" s="8">
        <v>4.87E-2</v>
      </c>
      <c r="L725" s="8">
        <v>4.8899999999999999E-2</v>
      </c>
      <c r="M725" s="8">
        <v>8.5000000000000006E-3</v>
      </c>
      <c r="N725" s="7">
        <v>1.9999999999999879E-4</v>
      </c>
      <c r="O725" s="7">
        <v>9.1999999999999998E-3</v>
      </c>
      <c r="P725" s="7">
        <v>5.4999999999999997E-3</v>
      </c>
      <c r="Q725" s="7">
        <v>6.4961626865089883E-3</v>
      </c>
      <c r="R725" s="7">
        <v>4.3991000000000002E-2</v>
      </c>
      <c r="S725" s="7">
        <v>4.4000000000000003E-3</v>
      </c>
    </row>
    <row r="726" spans="1:19" x14ac:dyDescent="0.3">
      <c r="A726" s="2">
        <v>200705</v>
      </c>
      <c r="B726" s="6">
        <f t="shared" si="22"/>
        <v>2.9786966842023217E-2</v>
      </c>
      <c r="C726" s="4">
        <f t="shared" si="23"/>
        <v>3.0358999999999997E-2</v>
      </c>
      <c r="D726" s="5">
        <v>1.6950429673378543E-2</v>
      </c>
      <c r="E726" s="5">
        <v>1.7502153083688056E-2</v>
      </c>
      <c r="F726" s="7">
        <v>5.5095645039144457E-2</v>
      </c>
      <c r="G726" s="7">
        <v>0.30765461882396639</v>
      </c>
      <c r="H726" s="7">
        <v>6.9657339303615931E-4</v>
      </c>
      <c r="I726" s="7">
        <v>0.24391149412539881</v>
      </c>
      <c r="J726" s="7">
        <v>-1.0283118782279185E-2</v>
      </c>
      <c r="K726" s="8">
        <v>4.7300000000000002E-2</v>
      </c>
      <c r="L726" s="8">
        <v>5.0999999999999997E-2</v>
      </c>
      <c r="M726" s="8">
        <v>-0.02</v>
      </c>
      <c r="N726" s="7">
        <v>3.699999999999995E-3</v>
      </c>
      <c r="O726" s="7">
        <v>9.1999999999999998E-3</v>
      </c>
      <c r="P726" s="7">
        <v>2.2000000000000006E-3</v>
      </c>
      <c r="Q726" s="7">
        <v>6.110718674704696E-3</v>
      </c>
      <c r="R726" s="7">
        <v>3.4458999999999997E-2</v>
      </c>
      <c r="S726" s="7">
        <v>4.0999999999999995E-3</v>
      </c>
    </row>
    <row r="727" spans="1:19" x14ac:dyDescent="0.3">
      <c r="A727" s="2">
        <v>200706</v>
      </c>
      <c r="B727" s="6">
        <f t="shared" si="22"/>
        <v>-2.0751683084877574E-2</v>
      </c>
      <c r="C727" s="4">
        <f t="shared" si="23"/>
        <v>-2.0619999999999999E-2</v>
      </c>
      <c r="D727" s="5">
        <v>1.7407789270628929E-2</v>
      </c>
      <c r="E727" s="5">
        <v>1.7097646705256694E-2</v>
      </c>
      <c r="F727" s="7">
        <v>5.6487673738466047E-2</v>
      </c>
      <c r="G727" s="7">
        <v>0.30816969647618642</v>
      </c>
      <c r="H727" s="7">
        <v>1.4724362327397814E-3</v>
      </c>
      <c r="I727" s="7">
        <v>0.24789560997351326</v>
      </c>
      <c r="J727" s="7">
        <v>-1.1064004454627498E-2</v>
      </c>
      <c r="K727" s="8">
        <v>4.6100000000000002E-2</v>
      </c>
      <c r="L727" s="8">
        <v>5.21E-2</v>
      </c>
      <c r="M727" s="8">
        <v>-9.1000000000000004E-3</v>
      </c>
      <c r="N727" s="7">
        <v>5.9999999999999984E-3</v>
      </c>
      <c r="O727" s="7">
        <v>9.1000000000000039E-3</v>
      </c>
      <c r="P727" s="7">
        <v>-5.7000000000000002E-3</v>
      </c>
      <c r="Q727" s="7">
        <v>1.9379751766057662E-3</v>
      </c>
      <c r="R727" s="7">
        <v>-1.6619999999999999E-2</v>
      </c>
      <c r="S727" s="7">
        <v>4.0000000000000001E-3</v>
      </c>
    </row>
    <row r="728" spans="1:19" x14ac:dyDescent="0.3">
      <c r="A728" s="2">
        <v>200707</v>
      </c>
      <c r="B728" s="6">
        <f t="shared" si="22"/>
        <v>-3.5686011403218254E-2</v>
      </c>
      <c r="C728" s="4">
        <f t="shared" si="23"/>
        <v>-3.5196999999999999E-2</v>
      </c>
      <c r="D728" s="5">
        <v>1.8167991735783279E-2</v>
      </c>
      <c r="E728" s="5">
        <v>1.7586944712364608E-2</v>
      </c>
      <c r="F728" s="7">
        <v>5.69063319164528E-2</v>
      </c>
      <c r="G728" s="7">
        <v>0.31926133918553506</v>
      </c>
      <c r="H728" s="7">
        <v>2.4262615025348799E-3</v>
      </c>
      <c r="I728" s="7">
        <v>0.25158496439999195</v>
      </c>
      <c r="J728" s="7">
        <v>-1.5261853125466704E-2</v>
      </c>
      <c r="K728" s="8">
        <v>4.82E-2</v>
      </c>
      <c r="L728" s="8">
        <v>5.0099999999999999E-2</v>
      </c>
      <c r="M728" s="8">
        <v>2.8400000000000002E-2</v>
      </c>
      <c r="N728" s="7">
        <v>1.8999999999999989E-3</v>
      </c>
      <c r="O728" s="7">
        <v>9.1999999999999998E-3</v>
      </c>
      <c r="P728" s="7">
        <v>-3.1600000000000003E-2</v>
      </c>
      <c r="Q728" s="7">
        <v>-2.543772078021922E-4</v>
      </c>
      <c r="R728" s="7">
        <v>-3.1196999999999999E-2</v>
      </c>
      <c r="S728" s="7">
        <v>4.0000000000000001E-3</v>
      </c>
    </row>
    <row r="729" spans="1:19" x14ac:dyDescent="0.3">
      <c r="A729" s="2">
        <v>200708</v>
      </c>
      <c r="B729" s="6">
        <f t="shared" si="22"/>
        <v>1.0790014424602111E-2</v>
      </c>
      <c r="C729" s="4">
        <f t="shared" si="23"/>
        <v>1.0894000000000001E-2</v>
      </c>
      <c r="D729" s="5">
        <v>1.8119978199761643E-2</v>
      </c>
      <c r="E729" s="5">
        <v>1.8353066212226366E-2</v>
      </c>
      <c r="F729" s="7">
        <v>5.4754381631754355E-2</v>
      </c>
      <c r="G729" s="7">
        <v>0.33093202150698953</v>
      </c>
      <c r="H729" s="7">
        <v>5.1339638120970754E-3</v>
      </c>
      <c r="I729" s="7">
        <v>0.24883985118762977</v>
      </c>
      <c r="J729" s="7">
        <v>-1.2197537101036058E-2</v>
      </c>
      <c r="K729" s="8">
        <v>4.2000000000000003E-2</v>
      </c>
      <c r="L729" s="8">
        <v>4.87E-2</v>
      </c>
      <c r="M729" s="8">
        <v>1.9900000000000001E-2</v>
      </c>
      <c r="N729" s="7">
        <v>6.6999999999999976E-3</v>
      </c>
      <c r="O729" s="7">
        <v>8.6000000000000035E-3</v>
      </c>
      <c r="P729" s="7">
        <v>-4.7000000000000011E-3</v>
      </c>
      <c r="Q729" s="7">
        <v>-1.8339022270870142E-3</v>
      </c>
      <c r="R729" s="7">
        <v>1.5094E-2</v>
      </c>
      <c r="S729" s="7">
        <v>4.1999999999999997E-3</v>
      </c>
    </row>
    <row r="730" spans="1:19" x14ac:dyDescent="0.3">
      <c r="A730" s="2">
        <v>200709</v>
      </c>
      <c r="B730" s="6">
        <f t="shared" si="22"/>
        <v>3.3588238377036478E-2</v>
      </c>
      <c r="C730" s="4">
        <f t="shared" si="23"/>
        <v>3.4268E-2</v>
      </c>
      <c r="D730" s="5">
        <v>1.7670214507941706E-2</v>
      </c>
      <c r="E730" s="5">
        <v>1.8302702189295722E-2</v>
      </c>
      <c r="F730" s="7">
        <v>5.1482393525281105E-2</v>
      </c>
      <c r="G730" s="7">
        <v>0.34322830190994358</v>
      </c>
      <c r="H730" s="7">
        <v>1.8684768372137549E-3</v>
      </c>
      <c r="I730" s="7">
        <v>0.23920743671233688</v>
      </c>
      <c r="J730" s="7">
        <v>-1.3015005136691977E-2</v>
      </c>
      <c r="K730" s="8">
        <v>3.8900000000000004E-2</v>
      </c>
      <c r="L730" s="8">
        <v>4.8899999999999999E-2</v>
      </c>
      <c r="M730" s="8">
        <v>1.1999999999999999E-3</v>
      </c>
      <c r="N730" s="7">
        <v>9.999999999999995E-3</v>
      </c>
      <c r="O730" s="7">
        <v>8.5000000000000006E-3</v>
      </c>
      <c r="P730" s="7">
        <v>1.23E-2</v>
      </c>
      <c r="Q730" s="7">
        <v>2.755907405358915E-3</v>
      </c>
      <c r="R730" s="7">
        <v>3.7468000000000001E-2</v>
      </c>
      <c r="S730" s="7">
        <v>3.2000000000000002E-3</v>
      </c>
    </row>
    <row r="731" spans="1:19" x14ac:dyDescent="0.3">
      <c r="A731" s="2">
        <v>200710</v>
      </c>
      <c r="B731" s="6">
        <f t="shared" si="22"/>
        <v>1.4016145833835085E-2</v>
      </c>
      <c r="C731" s="4">
        <f t="shared" si="23"/>
        <v>1.4160000000000001E-2</v>
      </c>
      <c r="D731" s="5">
        <v>1.7574341564582822E-2</v>
      </c>
      <c r="E731" s="5">
        <v>1.7834834343103543E-2</v>
      </c>
      <c r="F731" s="7">
        <v>4.8058413245764708E-2</v>
      </c>
      <c r="G731" s="7">
        <v>0.36568709571641156</v>
      </c>
      <c r="H731" s="7">
        <v>1.682877827927416E-3</v>
      </c>
      <c r="I731" s="7">
        <v>0.2386170601315469</v>
      </c>
      <c r="J731" s="7">
        <v>-1.7954802420062893E-2</v>
      </c>
      <c r="K731" s="8">
        <v>3.9E-2</v>
      </c>
      <c r="L731" s="8">
        <v>4.8000000000000001E-2</v>
      </c>
      <c r="M731" s="8">
        <v>1.55E-2</v>
      </c>
      <c r="N731" s="7">
        <v>9.0000000000000011E-3</v>
      </c>
      <c r="O731" s="7">
        <v>8.2000000000000059E-3</v>
      </c>
      <c r="P731" s="7">
        <v>-6.6999999999999994E-3</v>
      </c>
      <c r="Q731" s="7">
        <v>2.1391913281212371E-3</v>
      </c>
      <c r="R731" s="7">
        <v>1.736E-2</v>
      </c>
      <c r="S731" s="7">
        <v>3.2000000000000002E-3</v>
      </c>
    </row>
    <row r="732" spans="1:19" x14ac:dyDescent="0.3">
      <c r="A732" s="2">
        <v>200711</v>
      </c>
      <c r="B732" s="6">
        <f t="shared" si="22"/>
        <v>-4.5656848117230114E-2</v>
      </c>
      <c r="C732" s="4">
        <f t="shared" si="23"/>
        <v>-4.4782000000000002E-2</v>
      </c>
      <c r="D732" s="5">
        <v>1.8553726633989132E-2</v>
      </c>
      <c r="E732" s="5">
        <v>1.7736556988386751E-2</v>
      </c>
      <c r="F732" s="7">
        <v>4.7477445963732615E-2</v>
      </c>
      <c r="G732" s="7">
        <v>0.39079032701468558</v>
      </c>
      <c r="H732" s="7">
        <v>5.6368359827884762E-3</v>
      </c>
      <c r="I732" s="7">
        <v>0.24857969160310339</v>
      </c>
      <c r="J732" s="7">
        <v>-2.5158601327545077E-2</v>
      </c>
      <c r="K732" s="8">
        <v>3.27E-2</v>
      </c>
      <c r="L732" s="8">
        <v>4.4499999999999998E-2</v>
      </c>
      <c r="M732" s="8">
        <v>4.6800000000000001E-2</v>
      </c>
      <c r="N732" s="7">
        <v>1.1799999999999998E-2</v>
      </c>
      <c r="O732" s="7">
        <v>9.5999999999999974E-3</v>
      </c>
      <c r="P732" s="7">
        <v>-3.8900000000000004E-2</v>
      </c>
      <c r="Q732" s="7">
        <v>5.9396178734156813E-3</v>
      </c>
      <c r="R732" s="7">
        <v>-4.1382000000000002E-2</v>
      </c>
      <c r="S732" s="7">
        <v>3.4000000000000002E-3</v>
      </c>
    </row>
    <row r="733" spans="1:19" x14ac:dyDescent="0.3">
      <c r="A733" s="2">
        <v>200712</v>
      </c>
      <c r="B733" s="6">
        <f t="shared" si="22"/>
        <v>-8.8311408845111079E-3</v>
      </c>
      <c r="C733" s="4">
        <f t="shared" si="23"/>
        <v>-8.8160000000000009E-3</v>
      </c>
      <c r="D733" s="5">
        <v>1.888637663788172E-2</v>
      </c>
      <c r="E733" s="5">
        <v>1.8723415747329757E-2</v>
      </c>
      <c r="F733" s="7">
        <v>4.5071198013241255E-2</v>
      </c>
      <c r="G733" s="7">
        <v>0.41903427178334995</v>
      </c>
      <c r="H733" s="7">
        <v>2.345330443473616E-3</v>
      </c>
      <c r="I733" s="7">
        <v>0.2505829731427226</v>
      </c>
      <c r="J733" s="7">
        <v>-4.0637293756402008E-2</v>
      </c>
      <c r="K733" s="8">
        <v>0.03</v>
      </c>
      <c r="L733" s="8">
        <v>4.4999999999999998E-2</v>
      </c>
      <c r="M733" s="8">
        <v>-2.8999999999999998E-3</v>
      </c>
      <c r="N733" s="7">
        <v>1.4999999999999999E-2</v>
      </c>
      <c r="O733" s="7">
        <v>1.1599999999999999E-2</v>
      </c>
      <c r="P733" s="7">
        <v>5.7000000000000002E-3</v>
      </c>
      <c r="Q733" s="7">
        <v>-6.7086312964781403E-4</v>
      </c>
      <c r="R733" s="7">
        <v>-6.1159999999999999E-3</v>
      </c>
      <c r="S733" s="7">
        <v>2.7000000000000001E-3</v>
      </c>
    </row>
    <row r="734" spans="1:19" x14ac:dyDescent="0.3">
      <c r="A734" s="2">
        <v>200801</v>
      </c>
      <c r="B734" s="6">
        <f t="shared" si="22"/>
        <v>-6.521439729668696E-2</v>
      </c>
      <c r="C734" s="4">
        <f t="shared" si="23"/>
        <v>-6.3266000000000003E-2</v>
      </c>
      <c r="D734" s="5">
        <v>2.0254615356715387E-2</v>
      </c>
      <c r="E734" s="5">
        <v>1.9015772698793211E-2</v>
      </c>
      <c r="F734" s="7">
        <v>4.6607482002628077E-2</v>
      </c>
      <c r="G734" s="7">
        <v>0.43457862313980578</v>
      </c>
      <c r="H734" s="7">
        <v>4.831785710264179E-3</v>
      </c>
      <c r="I734" s="7">
        <v>0.2627544223091714</v>
      </c>
      <c r="J734" s="7">
        <v>-4.3178095866344822E-2</v>
      </c>
      <c r="K734" s="8">
        <v>2.75E-2</v>
      </c>
      <c r="L734" s="8">
        <v>4.36E-2</v>
      </c>
      <c r="M734" s="8">
        <v>2.1299999999999999E-2</v>
      </c>
      <c r="N734" s="7">
        <v>1.61E-2</v>
      </c>
      <c r="O734" s="7">
        <v>1.21E-2</v>
      </c>
      <c r="P734" s="7">
        <v>-1.9599999999999999E-2</v>
      </c>
      <c r="Q734" s="7">
        <v>4.9705764726046819E-3</v>
      </c>
      <c r="R734" s="7">
        <v>-6.1165999999999998E-2</v>
      </c>
      <c r="S734" s="7">
        <v>2.0999999999999999E-3</v>
      </c>
    </row>
    <row r="735" spans="1:19" x14ac:dyDescent="0.3">
      <c r="A735" s="2">
        <v>200802</v>
      </c>
      <c r="B735" s="6">
        <f t="shared" si="22"/>
        <v>-3.3222320877556201E-2</v>
      </c>
      <c r="C735" s="4">
        <f t="shared" si="23"/>
        <v>-3.2719000000000005E-2</v>
      </c>
      <c r="D735" s="5">
        <v>2.1126834657267606E-2</v>
      </c>
      <c r="E735" s="5">
        <v>2.0392441333284973E-2</v>
      </c>
      <c r="F735" s="7">
        <v>4.6835517247261017E-2</v>
      </c>
      <c r="G735" s="7">
        <v>0.45108575497803693</v>
      </c>
      <c r="H735" s="7">
        <v>3.2256416654840104E-3</v>
      </c>
      <c r="I735" s="7">
        <v>0.27097932103928291</v>
      </c>
      <c r="J735" s="7">
        <v>-4.9607134124165689E-2</v>
      </c>
      <c r="K735" s="8">
        <v>2.12E-2</v>
      </c>
      <c r="L735" s="8">
        <v>4.3799999999999999E-2</v>
      </c>
      <c r="M735" s="8">
        <v>1.8E-3</v>
      </c>
      <c r="N735" s="7">
        <v>2.2599999999999999E-2</v>
      </c>
      <c r="O735" s="7">
        <v>1.2899999999999995E-2</v>
      </c>
      <c r="P735" s="7">
        <v>-8.8999999999999999E-3</v>
      </c>
      <c r="Q735" s="7">
        <v>2.9041121849535667E-3</v>
      </c>
      <c r="R735" s="7">
        <v>-3.1419000000000002E-2</v>
      </c>
      <c r="S735" s="7">
        <v>1.2999999999999999E-3</v>
      </c>
    </row>
    <row r="736" spans="1:19" x14ac:dyDescent="0.3">
      <c r="A736" s="2">
        <v>200803</v>
      </c>
      <c r="B736" s="6">
        <f t="shared" si="22"/>
        <v>-5.1043497704143332E-3</v>
      </c>
      <c r="C736" s="4">
        <f t="shared" si="23"/>
        <v>-5.1000000000000004E-3</v>
      </c>
      <c r="D736" s="5">
        <v>2.1397142209117714E-2</v>
      </c>
      <c r="E736" s="5">
        <v>2.1269624162990462E-2</v>
      </c>
      <c r="F736" s="7">
        <v>4.5657174200289509E-2</v>
      </c>
      <c r="G736" s="7">
        <v>0.46864797447280548</v>
      </c>
      <c r="H736" s="7">
        <v>6.3376728223022705E-3</v>
      </c>
      <c r="I736" s="7">
        <v>0.25405756718033023</v>
      </c>
      <c r="J736" s="7">
        <v>-5.1830461878381209E-2</v>
      </c>
      <c r="K736" s="8">
        <v>1.26E-2</v>
      </c>
      <c r="L736" s="8">
        <v>4.3200000000000002E-2</v>
      </c>
      <c r="M736" s="8">
        <v>1.06E-2</v>
      </c>
      <c r="N736" s="7">
        <v>3.0600000000000002E-2</v>
      </c>
      <c r="O736" s="7">
        <v>1.3800000000000007E-2</v>
      </c>
      <c r="P736" s="7">
        <v>-1.6500000000000001E-2</v>
      </c>
      <c r="Q736" s="7">
        <v>8.6682129309896272E-3</v>
      </c>
      <c r="R736" s="7">
        <v>-3.3999999999999998E-3</v>
      </c>
      <c r="S736" s="7">
        <v>1.7000000000000001E-3</v>
      </c>
    </row>
    <row r="737" spans="1:19" x14ac:dyDescent="0.3">
      <c r="A737" s="2">
        <v>200804</v>
      </c>
      <c r="B737" s="6">
        <f t="shared" si="22"/>
        <v>4.568521475467998E-2</v>
      </c>
      <c r="C737" s="4">
        <f t="shared" si="23"/>
        <v>4.6828999999999996E-2</v>
      </c>
      <c r="D737" s="5">
        <v>2.0524590006182685E-2</v>
      </c>
      <c r="E737" s="5">
        <v>2.1500466218089261E-2</v>
      </c>
      <c r="F737" s="7">
        <v>4.1414725527139068E-2</v>
      </c>
      <c r="G737" s="7">
        <v>0.49558676883498654</v>
      </c>
      <c r="H737" s="7">
        <v>2.9037294854902507E-3</v>
      </c>
      <c r="I737" s="7">
        <v>0.24301469641883508</v>
      </c>
      <c r="J737" s="7">
        <v>-4.8843679136836821E-2</v>
      </c>
      <c r="K737" s="8">
        <v>1.29E-2</v>
      </c>
      <c r="L737" s="8">
        <v>4.58E-2</v>
      </c>
      <c r="M737" s="8">
        <v>-2.8799999999999999E-2</v>
      </c>
      <c r="N737" s="7">
        <v>3.2899999999999999E-2</v>
      </c>
      <c r="O737" s="7">
        <v>1.4199999999999997E-2</v>
      </c>
      <c r="P737" s="7">
        <v>3.7900000000000003E-2</v>
      </c>
      <c r="Q737" s="7">
        <v>6.0647783897194163E-3</v>
      </c>
      <c r="R737" s="7">
        <v>4.8628999999999999E-2</v>
      </c>
      <c r="S737" s="7">
        <v>1.8E-3</v>
      </c>
    </row>
    <row r="738" spans="1:19" x14ac:dyDescent="0.3">
      <c r="A738" s="2">
        <v>200805</v>
      </c>
      <c r="B738" s="6">
        <f t="shared" si="22"/>
        <v>1.1104022894028433E-2</v>
      </c>
      <c r="C738" s="4">
        <f t="shared" si="23"/>
        <v>1.1186E-2</v>
      </c>
      <c r="D738" s="5">
        <v>2.0405413768643747E-2</v>
      </c>
      <c r="E738" s="5">
        <v>2.0623224282315358E-2</v>
      </c>
      <c r="F738" s="7">
        <v>3.8830113805948599E-2</v>
      </c>
      <c r="G738" s="7">
        <v>0.52550486641936467</v>
      </c>
      <c r="H738" s="7">
        <v>1.6406529901543739E-3</v>
      </c>
      <c r="I738" s="7">
        <v>0.24651061216997197</v>
      </c>
      <c r="J738" s="7">
        <v>-4.5461357699667651E-2</v>
      </c>
      <c r="K738" s="8">
        <v>1.7299999999999999E-2</v>
      </c>
      <c r="L738" s="8">
        <v>4.7500000000000001E-2</v>
      </c>
      <c r="M738" s="8">
        <v>-1.6400000000000001E-2</v>
      </c>
      <c r="N738" s="7">
        <v>3.0200000000000001E-2</v>
      </c>
      <c r="O738" s="7">
        <v>1.3600000000000001E-2</v>
      </c>
      <c r="P738" s="7">
        <v>-1.1299999999999998E-2</v>
      </c>
      <c r="Q738" s="7">
        <v>8.4208860317562806E-3</v>
      </c>
      <c r="R738" s="7">
        <v>1.2985999999999999E-2</v>
      </c>
      <c r="S738" s="7">
        <v>1.8E-3</v>
      </c>
    </row>
    <row r="739" spans="1:19" x14ac:dyDescent="0.3">
      <c r="A739" s="2">
        <v>200806</v>
      </c>
      <c r="B739" s="6">
        <f t="shared" si="22"/>
        <v>-8.8174077221901653E-2</v>
      </c>
      <c r="C739" s="4">
        <f t="shared" si="23"/>
        <v>-8.4542000000000006E-2</v>
      </c>
      <c r="D739" s="5">
        <v>2.2431250000000003E-2</v>
      </c>
      <c r="E739" s="5">
        <v>2.0503006326854142E-2</v>
      </c>
      <c r="F739" s="7">
        <v>4.0132812499999997E-2</v>
      </c>
      <c r="G739" s="7">
        <v>0.55892544286548573</v>
      </c>
      <c r="H739" s="7">
        <v>3.425240482590618E-3</v>
      </c>
      <c r="I739" s="7">
        <v>0.27449138811331442</v>
      </c>
      <c r="J739" s="7">
        <v>-4.7376850016676055E-2</v>
      </c>
      <c r="K739" s="8">
        <v>1.8600000000000002E-2</v>
      </c>
      <c r="L739" s="8">
        <v>4.5999999999999999E-2</v>
      </c>
      <c r="M739" s="8">
        <v>2.1999999999999999E-2</v>
      </c>
      <c r="N739" s="7">
        <v>2.7399999999999997E-2</v>
      </c>
      <c r="O739" s="7">
        <v>1.3900000000000003E-2</v>
      </c>
      <c r="P739" s="7">
        <v>-2.81E-2</v>
      </c>
      <c r="Q739" s="7">
        <v>1.0076996934894167E-2</v>
      </c>
      <c r="R739" s="7">
        <v>-8.2841999999999999E-2</v>
      </c>
      <c r="S739" s="7">
        <v>1.7000000000000001E-3</v>
      </c>
    </row>
    <row r="740" spans="1:19" x14ac:dyDescent="0.3">
      <c r="A740" s="2">
        <v>200807</v>
      </c>
      <c r="B740" s="6">
        <f t="shared" si="22"/>
        <v>-8.8316956505539116E-3</v>
      </c>
      <c r="C740" s="4">
        <f t="shared" si="23"/>
        <v>-8.8059999999999996E-3</v>
      </c>
      <c r="D740" s="5">
        <v>2.2691957686986803E-2</v>
      </c>
      <c r="E740" s="5">
        <v>2.2468229166666669E-2</v>
      </c>
      <c r="F740" s="7">
        <v>3.9106923995434147E-2</v>
      </c>
      <c r="G740" s="7">
        <v>0.58025422018965644</v>
      </c>
      <c r="H740" s="7">
        <v>4.4658468471836434E-3</v>
      </c>
      <c r="I740" s="7">
        <v>0.27381565509640515</v>
      </c>
      <c r="J740" s="7">
        <v>-4.693181723024975E-2</v>
      </c>
      <c r="K740" s="8">
        <v>1.6299999999999999E-2</v>
      </c>
      <c r="L740" s="8">
        <v>4.65E-2</v>
      </c>
      <c r="M740" s="8">
        <v>-2.5000000000000001E-3</v>
      </c>
      <c r="N740" s="7">
        <v>3.0200000000000001E-2</v>
      </c>
      <c r="O740" s="7">
        <v>1.4899999999999997E-2</v>
      </c>
      <c r="P740" s="7">
        <v>-8.3999999999999995E-3</v>
      </c>
      <c r="Q740" s="7">
        <v>5.2510111281218741E-3</v>
      </c>
      <c r="R740" s="7">
        <v>-7.306E-3</v>
      </c>
      <c r="S740" s="7">
        <v>1.5E-3</v>
      </c>
    </row>
    <row r="741" spans="1:19" x14ac:dyDescent="0.3">
      <c r="A741" s="2">
        <v>200808</v>
      </c>
      <c r="B741" s="6">
        <f t="shared" si="22"/>
        <v>1.354512080393705E-2</v>
      </c>
      <c r="C741" s="4">
        <f t="shared" si="23"/>
        <v>1.3655E-2</v>
      </c>
      <c r="D741" s="5">
        <v>2.2455560492556825E-2</v>
      </c>
      <c r="E741" s="5">
        <v>2.2729305075562707E-2</v>
      </c>
      <c r="F741" s="7">
        <v>3.7227587963071233E-2</v>
      </c>
      <c r="G741" s="7">
        <v>0.6031967613596706</v>
      </c>
      <c r="H741" s="7">
        <v>3.447847225659779E-3</v>
      </c>
      <c r="I741" s="7">
        <v>0.26988924550939702</v>
      </c>
      <c r="J741" s="7">
        <v>-4.6333403453194158E-2</v>
      </c>
      <c r="K741" s="8">
        <v>1.72E-2</v>
      </c>
      <c r="L741" s="8">
        <v>4.4900000000000002E-2</v>
      </c>
      <c r="M741" s="8">
        <v>2.4199999999999999E-2</v>
      </c>
      <c r="N741" s="7">
        <v>2.7700000000000002E-2</v>
      </c>
      <c r="O741" s="7">
        <v>1.5100000000000009E-2</v>
      </c>
      <c r="P741" s="7">
        <v>-1.21E-2</v>
      </c>
      <c r="Q741" s="7">
        <v>-3.9915622556417896E-3</v>
      </c>
      <c r="R741" s="7">
        <v>1.4955E-2</v>
      </c>
      <c r="S741" s="7">
        <v>1.2999999999999999E-3</v>
      </c>
    </row>
    <row r="742" spans="1:19" x14ac:dyDescent="0.3">
      <c r="A742" s="2">
        <v>200809</v>
      </c>
      <c r="B742" s="6">
        <f t="shared" si="22"/>
        <v>-9.0840602633501508E-2</v>
      </c>
      <c r="C742" s="4">
        <f t="shared" si="23"/>
        <v>-8.6967000000000003E-2</v>
      </c>
      <c r="D742" s="5">
        <v>2.4738502692136222E-2</v>
      </c>
      <c r="E742" s="5">
        <v>2.2492458080961626E-2</v>
      </c>
      <c r="F742" s="7">
        <v>3.9396069824068049E-2</v>
      </c>
      <c r="G742" s="7">
        <v>0.627943416757345</v>
      </c>
      <c r="H742" s="7">
        <v>2.3774669175021204E-2</v>
      </c>
      <c r="I742" s="7">
        <v>0.28712354824499153</v>
      </c>
      <c r="J742" s="7">
        <v>-4.8922801359232965E-2</v>
      </c>
      <c r="K742" s="8">
        <v>1.1299999999999999E-2</v>
      </c>
      <c r="L742" s="8">
        <v>4.4299999999999999E-2</v>
      </c>
      <c r="M742" s="8">
        <v>1.12E-2</v>
      </c>
      <c r="N742" s="7">
        <v>3.3000000000000002E-2</v>
      </c>
      <c r="O742" s="7">
        <v>1.6599999999999997E-2</v>
      </c>
      <c r="P742" s="7">
        <v>-9.7500000000000003E-2</v>
      </c>
      <c r="Q742" s="7">
        <v>-1.3830185406644713E-3</v>
      </c>
      <c r="R742" s="7">
        <v>-8.5467000000000001E-2</v>
      </c>
      <c r="S742" s="7">
        <v>1.5E-3</v>
      </c>
    </row>
    <row r="743" spans="1:19" x14ac:dyDescent="0.3">
      <c r="A743" s="2">
        <v>200810</v>
      </c>
      <c r="B743" s="6">
        <f t="shared" si="22"/>
        <v>-0.18349730767024303</v>
      </c>
      <c r="C743" s="4">
        <f t="shared" si="23"/>
        <v>-0.16777999999999998</v>
      </c>
      <c r="D743" s="5">
        <v>2.9624086021505378E-2</v>
      </c>
      <c r="E743" s="5">
        <v>2.4605039038833067E-2</v>
      </c>
      <c r="F743" s="7">
        <v>3.6741505376344089E-2</v>
      </c>
      <c r="G743" s="7">
        <v>0.806283948304926</v>
      </c>
      <c r="H743" s="7">
        <v>5.8088524686249587E-2</v>
      </c>
      <c r="I743" s="7">
        <v>0.33409937361997466</v>
      </c>
      <c r="J743" s="7">
        <v>-5.5954123770292193E-2</v>
      </c>
      <c r="K743" s="8">
        <v>6.7000000000000002E-3</v>
      </c>
      <c r="L743" s="8">
        <v>4.7800000000000002E-2</v>
      </c>
      <c r="M743" s="8">
        <v>-3.8300000000000001E-2</v>
      </c>
      <c r="N743" s="7">
        <v>4.1100000000000005E-2</v>
      </c>
      <c r="O743" s="7">
        <v>2.5999999999999995E-2</v>
      </c>
      <c r="P743" s="7">
        <v>-6.6999999999999976E-3</v>
      </c>
      <c r="Q743" s="7">
        <v>-1.010133328457874E-2</v>
      </c>
      <c r="R743" s="7">
        <v>-0.16697999999999999</v>
      </c>
      <c r="S743" s="7">
        <v>8.0000000000000004E-4</v>
      </c>
    </row>
    <row r="744" spans="1:19" x14ac:dyDescent="0.3">
      <c r="A744" s="2">
        <v>200811</v>
      </c>
      <c r="B744" s="6">
        <f t="shared" si="22"/>
        <v>-7.6654140319376771E-2</v>
      </c>
      <c r="C744" s="4">
        <f t="shared" si="23"/>
        <v>-7.3811999999999989E-2</v>
      </c>
      <c r="D744" s="5">
        <v>3.184712428218632E-2</v>
      </c>
      <c r="E744" s="5">
        <v>2.9463397849462367E-2</v>
      </c>
      <c r="F744" s="7">
        <v>2.8158380195780888E-2</v>
      </c>
      <c r="G744" s="7">
        <v>1.1309998679170521</v>
      </c>
      <c r="H744" s="7">
        <v>3.625688051113956E-2</v>
      </c>
      <c r="I744" s="7">
        <v>0.35286735590732399</v>
      </c>
      <c r="J744" s="7">
        <v>-5.2779527559447474E-2</v>
      </c>
      <c r="K744" s="8">
        <v>1.9E-3</v>
      </c>
      <c r="L744" s="8">
        <v>3.7199999999999997E-2</v>
      </c>
      <c r="M744" s="8">
        <v>0.14430000000000001</v>
      </c>
      <c r="N744" s="7">
        <v>3.5299999999999998E-2</v>
      </c>
      <c r="O744" s="7">
        <v>3.0900000000000011E-2</v>
      </c>
      <c r="P744" s="7">
        <v>-2.6900000000000007E-2</v>
      </c>
      <c r="Q744" s="7">
        <v>-1.9152895328595876E-2</v>
      </c>
      <c r="R744" s="7">
        <v>-7.3511999999999994E-2</v>
      </c>
      <c r="S744" s="7">
        <v>2.9999999999999997E-4</v>
      </c>
    </row>
    <row r="745" spans="1:19" x14ac:dyDescent="0.3">
      <c r="A745" s="2">
        <v>200812</v>
      </c>
      <c r="B745" s="6">
        <f t="shared" si="22"/>
        <v>1.1923630141605975E-2</v>
      </c>
      <c r="C745" s="4">
        <f t="shared" si="23"/>
        <v>1.1995E-2</v>
      </c>
      <c r="D745" s="5">
        <v>3.1427622474398009E-2</v>
      </c>
      <c r="E745" s="5">
        <v>3.1673435686869589E-2</v>
      </c>
      <c r="F745" s="7">
        <v>1.647384445059507E-2</v>
      </c>
      <c r="G745" s="7">
        <v>1.9077284946236566</v>
      </c>
      <c r="H745" s="7">
        <v>2.0090081348220136E-2</v>
      </c>
      <c r="I745" s="7">
        <v>0.35498422472109836</v>
      </c>
      <c r="J745" s="7">
        <v>-2.4498417902239961E-2</v>
      </c>
      <c r="K745" s="8">
        <v>2.9999999999999997E-4</v>
      </c>
      <c r="L745" s="8">
        <v>3.0300000000000001E-2</v>
      </c>
      <c r="M745" s="8">
        <v>9.6699999999999994E-2</v>
      </c>
      <c r="N745" s="7">
        <v>0.03</v>
      </c>
      <c r="O745" s="7">
        <v>3.3800000000000004E-2</v>
      </c>
      <c r="P745" s="7">
        <v>5.9300000000000005E-2</v>
      </c>
      <c r="Q745" s="7">
        <v>-1.0342473814287434E-2</v>
      </c>
      <c r="R745" s="7">
        <v>1.1995E-2</v>
      </c>
      <c r="S745" s="7">
        <v>0</v>
      </c>
    </row>
    <row r="746" spans="1:19" x14ac:dyDescent="0.3">
      <c r="A746" s="2">
        <v>200901</v>
      </c>
      <c r="B746" s="6">
        <f t="shared" si="22"/>
        <v>-8.6228047508656119E-2</v>
      </c>
      <c r="C746" s="4">
        <f t="shared" si="23"/>
        <v>-8.2614999999999994E-2</v>
      </c>
      <c r="D746" s="5">
        <v>3.3914935180252175E-2</v>
      </c>
      <c r="E746" s="5">
        <v>3.1009871759387398E-2</v>
      </c>
      <c r="F746" s="7">
        <v>1.4780194055633583E-2</v>
      </c>
      <c r="G746" s="7">
        <v>2.2946204259967238</v>
      </c>
      <c r="H746" s="7">
        <v>1.197109600555081E-2</v>
      </c>
      <c r="I746" s="7">
        <v>0.3893931402374245</v>
      </c>
      <c r="J746" s="7">
        <v>-2.505792184115339E-2</v>
      </c>
      <c r="K746" s="8">
        <v>1.2999999999999999E-3</v>
      </c>
      <c r="L746" s="8">
        <v>3.9399999999999998E-2</v>
      </c>
      <c r="M746" s="8">
        <v>-0.1124</v>
      </c>
      <c r="N746" s="7">
        <v>3.8099999999999995E-2</v>
      </c>
      <c r="O746" s="7">
        <v>3.0900000000000004E-2</v>
      </c>
      <c r="P746" s="7">
        <v>1.7500000000000002E-2</v>
      </c>
      <c r="Q746" s="7">
        <v>4.3524173754210249E-3</v>
      </c>
      <c r="R746" s="7">
        <v>-8.2614999999999994E-2</v>
      </c>
      <c r="S746" s="7">
        <v>0</v>
      </c>
    </row>
    <row r="747" spans="1:19" x14ac:dyDescent="0.3">
      <c r="A747" s="2">
        <v>200902</v>
      </c>
      <c r="B747" s="6">
        <f t="shared" si="22"/>
        <v>-0.10945514526444516</v>
      </c>
      <c r="C747" s="4">
        <f t="shared" si="23"/>
        <v>-0.103688</v>
      </c>
      <c r="D747" s="5">
        <v>3.75904084307137E-2</v>
      </c>
      <c r="E747" s="5">
        <v>3.3458048788363122E-2</v>
      </c>
      <c r="F747" s="7">
        <v>1.2968933509275506E-2</v>
      </c>
      <c r="G747" s="7">
        <v>2.8984965034965042</v>
      </c>
      <c r="H747" s="7">
        <v>9.9612091726442951E-3</v>
      </c>
      <c r="I747" s="7">
        <v>0.44110305496444108</v>
      </c>
      <c r="J747" s="7">
        <v>-2.4929521723809793E-2</v>
      </c>
      <c r="K747" s="8">
        <v>3.0000000000000001E-3</v>
      </c>
      <c r="L747" s="8">
        <v>4.0099999999999997E-2</v>
      </c>
      <c r="M747" s="8">
        <v>-5.6000000000000008E-3</v>
      </c>
      <c r="N747" s="7">
        <v>3.7099999999999994E-2</v>
      </c>
      <c r="O747" s="7">
        <v>2.81E-2</v>
      </c>
      <c r="P747" s="7">
        <v>-2.52E-2</v>
      </c>
      <c r="Q747" s="7">
        <v>4.9729330359047363E-3</v>
      </c>
      <c r="R747" s="7">
        <v>-0.103588</v>
      </c>
      <c r="S747" s="7">
        <v>1E-4</v>
      </c>
    </row>
    <row r="748" spans="1:19" x14ac:dyDescent="0.3">
      <c r="A748" s="2">
        <v>200903</v>
      </c>
      <c r="B748" s="6">
        <f t="shared" si="22"/>
        <v>8.3804714778078077E-2</v>
      </c>
      <c r="C748" s="4">
        <f t="shared" si="23"/>
        <v>8.7433999999999998E-2</v>
      </c>
      <c r="D748" s="5">
        <v>3.4159700201787262E-2</v>
      </c>
      <c r="E748" s="5">
        <v>3.7077092600906011E-2</v>
      </c>
      <c r="F748" s="7">
        <v>8.5978918871495343E-3</v>
      </c>
      <c r="G748" s="7">
        <v>3.9730320699708463</v>
      </c>
      <c r="H748" s="7">
        <v>2.0364378680067623E-2</v>
      </c>
      <c r="I748" s="7">
        <v>0.44614084521850672</v>
      </c>
      <c r="J748" s="7">
        <v>-3.7429274854409771E-2</v>
      </c>
      <c r="K748" s="8">
        <v>2.0999999999999999E-3</v>
      </c>
      <c r="L748" s="8">
        <v>3.5499999999999997E-2</v>
      </c>
      <c r="M748" s="8">
        <v>6.4100000000000004E-2</v>
      </c>
      <c r="N748" s="7">
        <v>3.3399999999999999E-2</v>
      </c>
      <c r="O748" s="7">
        <v>2.9199999999999997E-2</v>
      </c>
      <c r="P748" s="7">
        <v>-6.59E-2</v>
      </c>
      <c r="Q748" s="7">
        <v>2.4317484554154944E-3</v>
      </c>
      <c r="R748" s="7">
        <v>8.7634000000000004E-2</v>
      </c>
      <c r="S748" s="7">
        <v>2.0000000000000001E-4</v>
      </c>
    </row>
    <row r="749" spans="1:19" x14ac:dyDescent="0.3">
      <c r="A749" s="2">
        <v>200904</v>
      </c>
      <c r="B749" s="6">
        <f t="shared" si="22"/>
        <v>8.9950924562579804E-2</v>
      </c>
      <c r="C749" s="4">
        <f t="shared" si="23"/>
        <v>9.4129999999999991E-2</v>
      </c>
      <c r="D749" s="5">
        <v>3.059237787529169E-2</v>
      </c>
      <c r="E749" s="5">
        <v>3.3465769277367663E-2</v>
      </c>
      <c r="F749" s="7">
        <v>8.1079119930645462E-3</v>
      </c>
      <c r="G749" s="7">
        <v>3.7731512011304766</v>
      </c>
      <c r="H749" s="7">
        <v>7.5510402627314765E-3</v>
      </c>
      <c r="I749" s="7">
        <v>0.41559746918507567</v>
      </c>
      <c r="J749" s="7">
        <v>-3.0994752984742913E-2</v>
      </c>
      <c r="K749" s="8">
        <v>1.6000000000000001E-3</v>
      </c>
      <c r="L749" s="8">
        <v>4.0999999999999995E-2</v>
      </c>
      <c r="M749" s="8">
        <v>-6.4899999999999999E-2</v>
      </c>
      <c r="N749" s="7">
        <v>3.9399999999999998E-2</v>
      </c>
      <c r="O749" s="7">
        <v>3.0000000000000006E-2</v>
      </c>
      <c r="P749" s="7">
        <v>6.1899999999999997E-2</v>
      </c>
      <c r="Q749" s="7">
        <v>2.4963682777880969E-3</v>
      </c>
      <c r="R749" s="7">
        <v>9.4229999999999994E-2</v>
      </c>
      <c r="S749" s="7">
        <v>1E-4</v>
      </c>
    </row>
    <row r="750" spans="1:19" x14ac:dyDescent="0.3">
      <c r="A750" s="2">
        <v>200905</v>
      </c>
      <c r="B750" s="6">
        <f t="shared" si="22"/>
        <v>5.3199476467577465E-2</v>
      </c>
      <c r="C750" s="4">
        <f t="shared" si="23"/>
        <v>5.4640000000000001E-2</v>
      </c>
      <c r="D750" s="5">
        <v>2.8447969478715616E-2</v>
      </c>
      <c r="E750" s="5">
        <v>2.9958028284124461E-2</v>
      </c>
      <c r="F750" s="7">
        <v>7.9349536885929602E-3</v>
      </c>
      <c r="G750" s="7">
        <v>3.5851462522851927</v>
      </c>
      <c r="H750" s="7">
        <v>6.3811402683786747E-3</v>
      </c>
      <c r="I750" s="7">
        <v>0.39935508386145008</v>
      </c>
      <c r="J750" s="7">
        <v>-2.4350344328931163E-2</v>
      </c>
      <c r="K750" s="8">
        <v>1.8E-3</v>
      </c>
      <c r="L750" s="8">
        <v>4.3200000000000002E-2</v>
      </c>
      <c r="M750" s="8">
        <v>-2.4799999999999999E-2</v>
      </c>
      <c r="N750" s="7">
        <v>4.1399999999999999E-2</v>
      </c>
      <c r="O750" s="7">
        <v>2.5200000000000007E-2</v>
      </c>
      <c r="P750" s="7">
        <v>7.3700000000000002E-2</v>
      </c>
      <c r="Q750" s="7">
        <v>2.8887638341774657E-3</v>
      </c>
      <c r="R750" s="7">
        <v>5.4640000000000001E-2</v>
      </c>
      <c r="S750" s="7">
        <v>0</v>
      </c>
    </row>
    <row r="751" spans="1:19" x14ac:dyDescent="0.3">
      <c r="A751" s="2">
        <v>200906</v>
      </c>
      <c r="B751" s="6">
        <f t="shared" si="22"/>
        <v>2.3729447620579333E-3</v>
      </c>
      <c r="C751" s="4">
        <f t="shared" si="23"/>
        <v>2.3760000000000001E-3</v>
      </c>
      <c r="D751" s="5">
        <v>2.7840142714180047E-2</v>
      </c>
      <c r="E751" s="5">
        <v>2.7845594795134584E-2</v>
      </c>
      <c r="F751" s="7">
        <v>8.169081495018056E-3</v>
      </c>
      <c r="G751" s="7">
        <v>3.4079893475366183</v>
      </c>
      <c r="H751" s="7">
        <v>3.4725262232549034E-3</v>
      </c>
      <c r="I751" s="7">
        <v>0.40187640582455308</v>
      </c>
      <c r="J751" s="7">
        <v>-2.209749831546453E-2</v>
      </c>
      <c r="K751" s="8">
        <v>1.8E-3</v>
      </c>
      <c r="L751" s="8">
        <v>4.2900000000000001E-2</v>
      </c>
      <c r="M751" s="8">
        <v>8.3000000000000001E-3</v>
      </c>
      <c r="N751" s="7">
        <v>4.1099999999999998E-2</v>
      </c>
      <c r="O751" s="7">
        <v>1.8899999999999993E-2</v>
      </c>
      <c r="P751" s="7">
        <v>2.6700000000000002E-2</v>
      </c>
      <c r="Q751" s="7">
        <v>8.589892263953347E-3</v>
      </c>
      <c r="R751" s="7">
        <v>2.4759999999999999E-3</v>
      </c>
      <c r="S751" s="7">
        <v>1E-4</v>
      </c>
    </row>
    <row r="752" spans="1:19" x14ac:dyDescent="0.3">
      <c r="A752" s="2">
        <v>200907</v>
      </c>
      <c r="B752" s="6">
        <f t="shared" si="22"/>
        <v>7.1738689982114773E-2</v>
      </c>
      <c r="C752" s="4">
        <f t="shared" si="23"/>
        <v>7.4382000000000004E-2</v>
      </c>
      <c r="D752" s="5">
        <v>2.5347011247485181E-2</v>
      </c>
      <c r="E752" s="5">
        <v>2.722628319482516E-2</v>
      </c>
      <c r="F752" s="7">
        <v>9.3031420045638063E-3</v>
      </c>
      <c r="G752" s="7">
        <v>2.7245645863570389</v>
      </c>
      <c r="H752" s="7">
        <v>3.7710547463786904E-3</v>
      </c>
      <c r="I752" s="7">
        <v>0.37012585576578155</v>
      </c>
      <c r="J752" s="7">
        <v>-1.3781638969209037E-2</v>
      </c>
      <c r="K752" s="8">
        <v>1.8E-3</v>
      </c>
      <c r="L752" s="8">
        <v>4.2999999999999997E-2</v>
      </c>
      <c r="M752" s="8">
        <v>1.9E-3</v>
      </c>
      <c r="N752" s="7">
        <v>4.1199999999999994E-2</v>
      </c>
      <c r="O752" s="7">
        <v>1.6800000000000002E-2</v>
      </c>
      <c r="P752" s="7">
        <v>5.4600000000000003E-2</v>
      </c>
      <c r="Q752" s="7">
        <v>-1.5855869221532704E-3</v>
      </c>
      <c r="R752" s="7">
        <v>7.4482000000000007E-2</v>
      </c>
      <c r="S752" s="7">
        <v>1E-4</v>
      </c>
    </row>
    <row r="753" spans="1:19" x14ac:dyDescent="0.3">
      <c r="A753" s="2">
        <v>200908</v>
      </c>
      <c r="B753" s="6">
        <f t="shared" si="22"/>
        <v>3.4060823062913373E-2</v>
      </c>
      <c r="C753" s="4">
        <f t="shared" si="23"/>
        <v>3.4650999999999994E-2</v>
      </c>
      <c r="D753" s="5">
        <v>2.3971050276629238E-2</v>
      </c>
      <c r="E753" s="5">
        <v>2.4775522879788282E-2</v>
      </c>
      <c r="F753" s="7">
        <v>1.0643857001953061E-2</v>
      </c>
      <c r="G753" s="7">
        <v>2.2521018717397974</v>
      </c>
      <c r="H753" s="7">
        <v>2.1777240316582847E-3</v>
      </c>
      <c r="I753" s="7">
        <v>0.35747155728348362</v>
      </c>
      <c r="J753" s="7">
        <v>-7.9213990226612383E-3</v>
      </c>
      <c r="K753" s="8">
        <v>1.7000000000000001E-3</v>
      </c>
      <c r="L753" s="8">
        <v>4.1500000000000002E-2</v>
      </c>
      <c r="M753" s="8">
        <v>2.3099999999999999E-2</v>
      </c>
      <c r="N753" s="7">
        <v>3.9800000000000002E-2</v>
      </c>
      <c r="O753" s="7">
        <v>1.3199999999999996E-2</v>
      </c>
      <c r="P753" s="7">
        <v>4.0000000000000105E-4</v>
      </c>
      <c r="Q753" s="7">
        <v>2.2428500448106181E-3</v>
      </c>
      <c r="R753" s="7">
        <v>3.4750999999999997E-2</v>
      </c>
      <c r="S753" s="7">
        <v>1E-4</v>
      </c>
    </row>
    <row r="754" spans="1:19" x14ac:dyDescent="0.3">
      <c r="A754" s="2">
        <v>200909</v>
      </c>
      <c r="B754" s="6">
        <f t="shared" si="22"/>
        <v>3.5782460056766094E-2</v>
      </c>
      <c r="C754" s="4">
        <f t="shared" si="23"/>
        <v>3.6433999999999994E-2</v>
      </c>
      <c r="D754" s="5">
        <v>2.261039845612442E-2</v>
      </c>
      <c r="E754" s="5">
        <v>2.3418118398620447E-2</v>
      </c>
      <c r="F754" s="7">
        <v>1.1862867521852651E-2</v>
      </c>
      <c r="G754" s="7">
        <v>1.9059808612440192</v>
      </c>
      <c r="H754" s="7">
        <v>1.9126284568230288E-3</v>
      </c>
      <c r="I754" s="7">
        <v>0.3495214306012594</v>
      </c>
      <c r="J754" s="7">
        <v>-1.4334718557765789E-5</v>
      </c>
      <c r="K754" s="8">
        <v>1.1999999999999999E-3</v>
      </c>
      <c r="L754" s="8">
        <v>4.0300000000000002E-2</v>
      </c>
      <c r="M754" s="8">
        <v>1.7600000000000001E-2</v>
      </c>
      <c r="N754" s="7">
        <v>3.9100000000000003E-2</v>
      </c>
      <c r="O754" s="7">
        <v>1.1799999999999991E-2</v>
      </c>
      <c r="P754" s="7">
        <v>9.7000000000000003E-3</v>
      </c>
      <c r="Q754" s="7">
        <v>6.2548069349599444E-4</v>
      </c>
      <c r="R754" s="7">
        <v>3.6533999999999997E-2</v>
      </c>
      <c r="S754" s="7">
        <v>1E-4</v>
      </c>
    </row>
    <row r="755" spans="1:19" x14ac:dyDescent="0.3">
      <c r="A755" s="2">
        <v>200910</v>
      </c>
      <c r="B755" s="6">
        <f t="shared" si="22"/>
        <v>-1.8427752869323008E-2</v>
      </c>
      <c r="C755" s="4">
        <f t="shared" si="23"/>
        <v>-1.8259000000000001E-2</v>
      </c>
      <c r="D755" s="5">
        <v>2.2584982805598713E-2</v>
      </c>
      <c r="E755" s="5">
        <v>2.2138658695021504E-2</v>
      </c>
      <c r="F755" s="7">
        <v>2.4464625213522613E-2</v>
      </c>
      <c r="G755" s="7">
        <v>0.92316896778435242</v>
      </c>
      <c r="H755" s="7">
        <v>3.8979662948849334E-3</v>
      </c>
      <c r="I755" s="7">
        <v>0.349505236941622</v>
      </c>
      <c r="J755" s="7">
        <v>3.197595576040475E-3</v>
      </c>
      <c r="K755" s="8">
        <v>7.000000000000001E-4</v>
      </c>
      <c r="L755" s="8">
        <v>4.2000000000000003E-2</v>
      </c>
      <c r="M755" s="8">
        <v>-1.7100000000000001E-2</v>
      </c>
      <c r="N755" s="7">
        <v>4.1300000000000003E-2</v>
      </c>
      <c r="O755" s="7">
        <v>1.1399999999999993E-2</v>
      </c>
      <c r="P755" s="7">
        <v>1.8700000000000001E-2</v>
      </c>
      <c r="Q755" s="7">
        <v>9.6310118581843795E-4</v>
      </c>
      <c r="R755" s="7">
        <v>-1.8259000000000001E-2</v>
      </c>
      <c r="S755" s="7">
        <v>0</v>
      </c>
    </row>
    <row r="756" spans="1:19" x14ac:dyDescent="0.3">
      <c r="A756" s="2">
        <v>200911</v>
      </c>
      <c r="B756" s="6">
        <f t="shared" si="22"/>
        <v>5.8511331567226897E-2</v>
      </c>
      <c r="C756" s="4">
        <f t="shared" si="23"/>
        <v>6.0256999999999998E-2</v>
      </c>
      <c r="D756" s="5">
        <v>2.0904563280182784E-2</v>
      </c>
      <c r="E756" s="5">
        <v>2.2103732584435928E-2</v>
      </c>
      <c r="F756" s="7">
        <v>3.482927630678239E-2</v>
      </c>
      <c r="G756" s="7">
        <v>0.60020090845562546</v>
      </c>
      <c r="H756" s="7">
        <v>2.0013189924019776E-3</v>
      </c>
      <c r="I756" s="7">
        <v>0.32814910622107252</v>
      </c>
      <c r="J756" s="7">
        <v>7.5319177138623728E-3</v>
      </c>
      <c r="K756" s="8">
        <v>5.0000000000000001E-4</v>
      </c>
      <c r="L756" s="8">
        <v>4.0599999999999997E-2</v>
      </c>
      <c r="M756" s="8">
        <v>2.0799999999999999E-2</v>
      </c>
      <c r="N756" s="7">
        <v>4.0099999999999997E-2</v>
      </c>
      <c r="O756" s="7">
        <v>1.1300000000000004E-2</v>
      </c>
      <c r="P756" s="7">
        <v>-1.6399999999999998E-2</v>
      </c>
      <c r="Q756" s="7">
        <v>7.0775336876738315E-4</v>
      </c>
      <c r="R756" s="7">
        <v>6.0256999999999998E-2</v>
      </c>
      <c r="S756" s="7">
        <v>0</v>
      </c>
    </row>
    <row r="757" spans="1:19" x14ac:dyDescent="0.3">
      <c r="A757" s="2">
        <v>200912</v>
      </c>
      <c r="B757" s="6">
        <f t="shared" si="22"/>
        <v>1.8705076078520119E-2</v>
      </c>
      <c r="C757" s="4">
        <f t="shared" si="23"/>
        <v>1.8883E-2</v>
      </c>
      <c r="D757" s="5">
        <v>2.0092368397453146E-2</v>
      </c>
      <c r="E757" s="5">
        <v>2.0449421793853763E-2</v>
      </c>
      <c r="F757" s="7">
        <v>4.5708905030938933E-2</v>
      </c>
      <c r="G757" s="7">
        <v>0.43957229742986076</v>
      </c>
      <c r="H757" s="7">
        <v>9.3343534814837833E-4</v>
      </c>
      <c r="I757" s="7">
        <v>0.32553066009464859</v>
      </c>
      <c r="J757" s="7">
        <v>1.0594469197633806E-2</v>
      </c>
      <c r="K757" s="8">
        <v>5.0000000000000001E-4</v>
      </c>
      <c r="L757" s="8">
        <v>4.58E-2</v>
      </c>
      <c r="M757" s="8">
        <v>-5.8400000000000001E-2</v>
      </c>
      <c r="N757" s="7">
        <v>4.53E-2</v>
      </c>
      <c r="O757" s="7">
        <v>1.1100000000000006E-2</v>
      </c>
      <c r="P757" s="7">
        <v>3.09E-2</v>
      </c>
      <c r="Q757" s="7">
        <v>-1.7611981694632961E-3</v>
      </c>
      <c r="R757" s="7">
        <v>1.8983E-2</v>
      </c>
      <c r="S757" s="7">
        <v>1E-4</v>
      </c>
    </row>
    <row r="758" spans="1:19" x14ac:dyDescent="0.3">
      <c r="A758" s="2">
        <v>201001</v>
      </c>
      <c r="B758" s="6">
        <f t="shared" si="22"/>
        <v>-3.640571896978486E-2</v>
      </c>
      <c r="C758" s="4">
        <f t="shared" si="23"/>
        <v>-3.5750999999999998E-2</v>
      </c>
      <c r="D758" s="5">
        <v>2.0708279400672335E-2</v>
      </c>
      <c r="E758" s="5">
        <v>1.994260604430096E-2</v>
      </c>
      <c r="F758" s="7">
        <v>5.0555467607811003E-2</v>
      </c>
      <c r="G758" s="7">
        <v>0.40961503039233743</v>
      </c>
      <c r="H758" s="7">
        <v>1.9917025463290212E-3</v>
      </c>
      <c r="I758" s="7">
        <v>0.33719466829834727</v>
      </c>
      <c r="J758" s="7">
        <v>1.3409689657957061E-2</v>
      </c>
      <c r="K758" s="8">
        <v>5.9999999999999995E-4</v>
      </c>
      <c r="L758" s="8">
        <v>4.4058899999999998E-2</v>
      </c>
      <c r="M758" s="8">
        <v>2.63637E-2</v>
      </c>
      <c r="N758" s="7">
        <v>4.3458899999999995E-2</v>
      </c>
      <c r="O758" s="7">
        <v>9.8999999999999991E-3</v>
      </c>
      <c r="P758" s="7">
        <v>-1.68109E-2</v>
      </c>
      <c r="Q758" s="7">
        <v>3.4174735701484327E-3</v>
      </c>
      <c r="R758" s="7">
        <v>-3.5750999999999998E-2</v>
      </c>
      <c r="S758" s="7">
        <v>0</v>
      </c>
    </row>
    <row r="759" spans="1:19" x14ac:dyDescent="0.3">
      <c r="A759" s="2">
        <v>201002</v>
      </c>
      <c r="B759" s="6">
        <f t="shared" si="22"/>
        <v>2.9970368022165277E-2</v>
      </c>
      <c r="C759" s="4">
        <f t="shared" si="23"/>
        <v>3.0424E-2</v>
      </c>
      <c r="D759" s="5">
        <v>1.9982978569294423E-2</v>
      </c>
      <c r="E759" s="5">
        <v>2.0552767094713514E-2</v>
      </c>
      <c r="F759" s="7">
        <v>5.215982036958234E-2</v>
      </c>
      <c r="G759" s="7">
        <v>0.38311057108140945</v>
      </c>
      <c r="H759" s="7">
        <v>2.3732453709424889E-3</v>
      </c>
      <c r="I759" s="7">
        <v>0.32877138202815231</v>
      </c>
      <c r="J759" s="7">
        <v>1.3932073453189295E-2</v>
      </c>
      <c r="K759" s="8">
        <v>1.1000000000000001E-3</v>
      </c>
      <c r="L759" s="8">
        <v>4.4071199999999998E-2</v>
      </c>
      <c r="M759" s="8">
        <v>3.1541999999999998E-3</v>
      </c>
      <c r="N759" s="7">
        <v>4.2971200000000001E-2</v>
      </c>
      <c r="O759" s="7">
        <v>9.8999999999999991E-3</v>
      </c>
      <c r="P759" s="7">
        <v>7.258000000000004E-4</v>
      </c>
      <c r="Q759" s="7">
        <v>2.4920738207656612E-4</v>
      </c>
      <c r="R759" s="7">
        <v>3.0424E-2</v>
      </c>
      <c r="S759" s="7">
        <v>0</v>
      </c>
    </row>
    <row r="760" spans="1:19" x14ac:dyDescent="0.3">
      <c r="A760" s="2">
        <v>201003</v>
      </c>
      <c r="B760" s="6">
        <f t="shared" si="22"/>
        <v>5.9125059643421386E-2</v>
      </c>
      <c r="C760" s="4">
        <f t="shared" si="23"/>
        <v>6.0913999999999996E-2</v>
      </c>
      <c r="D760" s="5">
        <v>1.8730492633163162E-2</v>
      </c>
      <c r="E760" s="5">
        <v>1.9831777562494907E-2</v>
      </c>
      <c r="F760" s="7">
        <v>5.210230625176368E-2</v>
      </c>
      <c r="G760" s="7">
        <v>0.35949450188741172</v>
      </c>
      <c r="H760" s="7">
        <v>6.3340883198182026E-4</v>
      </c>
      <c r="I760" s="7">
        <v>0.38187817029778121</v>
      </c>
      <c r="J760" s="7">
        <v>2.6390100463031741E-2</v>
      </c>
      <c r="K760" s="8">
        <v>1.5E-3</v>
      </c>
      <c r="L760" s="8">
        <v>4.5777699999999998E-2</v>
      </c>
      <c r="M760" s="8">
        <v>-1.7875499999999999E-2</v>
      </c>
      <c r="N760" s="7">
        <v>4.4277699999999996E-2</v>
      </c>
      <c r="O760" s="7">
        <v>9.999999999999995E-3</v>
      </c>
      <c r="P760" s="7">
        <v>2.2383799999999999E-2</v>
      </c>
      <c r="Q760" s="7">
        <v>4.1062835365712758E-3</v>
      </c>
      <c r="R760" s="7">
        <v>6.1013999999999999E-2</v>
      </c>
      <c r="S760" s="7">
        <v>1E-4</v>
      </c>
    </row>
    <row r="761" spans="1:19" x14ac:dyDescent="0.3">
      <c r="A761" s="2">
        <v>201004</v>
      </c>
      <c r="B761" s="6">
        <f t="shared" si="22"/>
        <v>1.5750716104442414E-2</v>
      </c>
      <c r="C761" s="4">
        <f t="shared" si="23"/>
        <v>1.5877000000000002E-2</v>
      </c>
      <c r="D761" s="5">
        <v>1.8495422842809268E-2</v>
      </c>
      <c r="E761" s="5">
        <v>1.8768402840130087E-2</v>
      </c>
      <c r="F761" s="7">
        <v>5.307760802456131E-2</v>
      </c>
      <c r="G761" s="7">
        <v>0.34845999153259943</v>
      </c>
      <c r="H761" s="7">
        <v>1.7938347506958996E-3</v>
      </c>
      <c r="I761" s="7">
        <v>0.37660612920250602</v>
      </c>
      <c r="J761" s="7">
        <v>2.665111753630418E-2</v>
      </c>
      <c r="K761" s="8">
        <v>1.6000000000000001E-3</v>
      </c>
      <c r="L761" s="8">
        <v>4.3735799999999998E-2</v>
      </c>
      <c r="M761" s="8">
        <v>3.03965E-2</v>
      </c>
      <c r="N761" s="7">
        <v>4.2135800000000001E-2</v>
      </c>
      <c r="O761" s="7">
        <v>9.5999999999999974E-3</v>
      </c>
      <c r="P761" s="7">
        <v>5.3436999999999998E-3</v>
      </c>
      <c r="Q761" s="7">
        <v>1.736884910697345E-3</v>
      </c>
      <c r="R761" s="7">
        <v>1.5977000000000002E-2</v>
      </c>
      <c r="S761" s="7">
        <v>1E-4</v>
      </c>
    </row>
    <row r="762" spans="1:19" x14ac:dyDescent="0.3">
      <c r="A762" s="2">
        <v>201005</v>
      </c>
      <c r="B762" s="6">
        <f t="shared" si="22"/>
        <v>-8.3602263392356477E-2</v>
      </c>
      <c r="C762" s="4">
        <f t="shared" si="23"/>
        <v>-8.0211000000000005E-2</v>
      </c>
      <c r="D762" s="5">
        <v>2.0187685689195677E-2</v>
      </c>
      <c r="E762" s="5">
        <v>1.8532781658787606E-2</v>
      </c>
      <c r="F762" s="7">
        <v>5.9705100314237355E-2</v>
      </c>
      <c r="G762" s="7">
        <v>0.33812330241377547</v>
      </c>
      <c r="H762" s="7">
        <v>8.1078431952013186E-3</v>
      </c>
      <c r="I762" s="7">
        <v>0.40900279481445018</v>
      </c>
      <c r="J762" s="7">
        <v>2.5719661702506912E-2</v>
      </c>
      <c r="K762" s="8">
        <v>1.6000000000000001E-3</v>
      </c>
      <c r="L762" s="8">
        <v>4.0681000000000002E-2</v>
      </c>
      <c r="M762" s="8">
        <v>4.3683600000000003E-2</v>
      </c>
      <c r="N762" s="7">
        <v>3.9081000000000005E-2</v>
      </c>
      <c r="O762" s="7">
        <v>1.09E-2</v>
      </c>
      <c r="P762" s="7">
        <v>-4.8786700000000002E-2</v>
      </c>
      <c r="Q762" s="7">
        <v>7.75197354237811E-4</v>
      </c>
      <c r="R762" s="7">
        <v>-8.0111000000000002E-2</v>
      </c>
      <c r="S762" s="7">
        <v>1E-4</v>
      </c>
    </row>
    <row r="763" spans="1:19" x14ac:dyDescent="0.3">
      <c r="A763" s="2">
        <v>201006</v>
      </c>
      <c r="B763" s="6">
        <f t="shared" si="22"/>
        <v>-5.5110716782822991E-2</v>
      </c>
      <c r="C763" s="4">
        <f t="shared" si="23"/>
        <v>-5.3625000000000006E-2</v>
      </c>
      <c r="D763" s="5">
        <v>2.1380407680142814E-2</v>
      </c>
      <c r="E763" s="5">
        <v>2.0228380499536444E-2</v>
      </c>
      <c r="F763" s="7">
        <v>6.5100755789698359E-2</v>
      </c>
      <c r="G763" s="7">
        <v>0.32842026825633386</v>
      </c>
      <c r="H763" s="7">
        <v>5.5917547911312482E-3</v>
      </c>
      <c r="I763" s="7">
        <v>0.42417654148446593</v>
      </c>
      <c r="J763" s="7">
        <v>1.877587650343213E-2</v>
      </c>
      <c r="K763" s="8">
        <v>1.1999999999999999E-3</v>
      </c>
      <c r="L763" s="8">
        <v>3.7607399999999999E-2</v>
      </c>
      <c r="M763" s="8">
        <v>4.4564300000000001E-2</v>
      </c>
      <c r="N763" s="7">
        <v>3.6407399999999999E-2</v>
      </c>
      <c r="O763" s="7">
        <v>1.3500000000000005E-2</v>
      </c>
      <c r="P763" s="7">
        <v>7.3811000000000015E-3</v>
      </c>
      <c r="Q763" s="7">
        <v>-9.7626708467390966E-4</v>
      </c>
      <c r="R763" s="7">
        <v>-5.3525000000000003E-2</v>
      </c>
      <c r="S763" s="7">
        <v>1E-4</v>
      </c>
    </row>
    <row r="764" spans="1:19" x14ac:dyDescent="0.3">
      <c r="A764" s="2">
        <v>201007</v>
      </c>
      <c r="B764" s="6">
        <f t="shared" si="22"/>
        <v>6.7980059996381792E-2</v>
      </c>
      <c r="C764" s="4">
        <f t="shared" si="23"/>
        <v>7.0350999999999997E-2</v>
      </c>
      <c r="D764" s="5">
        <v>2.0100157346889375E-2</v>
      </c>
      <c r="E764" s="5">
        <v>2.1482602607264246E-2</v>
      </c>
      <c r="F764" s="7">
        <v>6.2351730815783109E-2</v>
      </c>
      <c r="G764" s="7">
        <v>0.32236727166844609</v>
      </c>
      <c r="H764" s="7">
        <v>3.3487857875525752E-3</v>
      </c>
      <c r="I764" s="7">
        <v>0.39613355322121085</v>
      </c>
      <c r="J764" s="7">
        <v>1.5556763946769841E-2</v>
      </c>
      <c r="K764" s="8">
        <v>1.6000000000000001E-3</v>
      </c>
      <c r="L764" s="8">
        <v>3.7657599999999999E-2</v>
      </c>
      <c r="M764" s="8">
        <v>2.4380999999999999E-3</v>
      </c>
      <c r="N764" s="7">
        <v>3.6057600000000002E-2</v>
      </c>
      <c r="O764" s="7">
        <v>1.2900000000000002E-2</v>
      </c>
      <c r="P764" s="7">
        <v>1.4541699999999999E-2</v>
      </c>
      <c r="Q764" s="7">
        <v>2.1104305737162932E-4</v>
      </c>
      <c r="R764" s="7">
        <v>7.0451E-2</v>
      </c>
      <c r="S764" s="7">
        <v>1E-4</v>
      </c>
    </row>
    <row r="765" spans="1:19" x14ac:dyDescent="0.3">
      <c r="A765" s="2">
        <v>201008</v>
      </c>
      <c r="B765" s="6">
        <f t="shared" si="22"/>
        <v>-4.6598487057336178E-2</v>
      </c>
      <c r="C765" s="4">
        <f t="shared" si="23"/>
        <v>-4.5534000000000005E-2</v>
      </c>
      <c r="D765" s="5">
        <v>2.1201782724849828E-2</v>
      </c>
      <c r="E765" s="5">
        <v>2.0195775841200681E-2</v>
      </c>
      <c r="F765" s="7">
        <v>6.6969717184616209E-2</v>
      </c>
      <c r="G765" s="7">
        <v>0.31658761028365434</v>
      </c>
      <c r="H765" s="7">
        <v>2.7046020741628919E-3</v>
      </c>
      <c r="I765" s="7">
        <v>0.41398161905674846</v>
      </c>
      <c r="J765" s="7">
        <v>1.1217718598864744E-2</v>
      </c>
      <c r="K765" s="8">
        <v>1.6000000000000001E-3</v>
      </c>
      <c r="L765" s="8">
        <v>3.2707800000000002E-2</v>
      </c>
      <c r="M765" s="8">
        <v>7.02126E-2</v>
      </c>
      <c r="N765" s="7">
        <v>3.1107800000000001E-2</v>
      </c>
      <c r="O765" s="7">
        <v>1.1700000000000002E-2</v>
      </c>
      <c r="P765" s="7">
        <v>-2.2893799999999999E-2</v>
      </c>
      <c r="Q765" s="7">
        <v>1.3806642784079948E-3</v>
      </c>
      <c r="R765" s="7">
        <v>-4.5434000000000002E-2</v>
      </c>
      <c r="S765" s="7">
        <v>1E-4</v>
      </c>
    </row>
    <row r="766" spans="1:19" x14ac:dyDescent="0.3">
      <c r="A766" s="2">
        <v>201009</v>
      </c>
      <c r="B766" s="6">
        <f t="shared" si="22"/>
        <v>8.6429015669366949E-2</v>
      </c>
      <c r="C766" s="4">
        <f t="shared" si="23"/>
        <v>9.0283000000000002E-2</v>
      </c>
      <c r="D766" s="5">
        <v>1.9587276550998949E-2</v>
      </c>
      <c r="E766" s="5">
        <v>2.1302164238132908E-2</v>
      </c>
      <c r="F766" s="7">
        <v>6.2968804766912023E-2</v>
      </c>
      <c r="G766" s="7">
        <v>0.31106317840244924</v>
      </c>
      <c r="H766" s="7">
        <v>2.3371834354522858E-3</v>
      </c>
      <c r="I766" s="7">
        <v>0.3843057827874361</v>
      </c>
      <c r="J766" s="7">
        <v>3.3375031058306536E-3</v>
      </c>
      <c r="K766" s="8">
        <v>1.5E-3</v>
      </c>
      <c r="L766" s="8">
        <v>3.4063000000000003E-2</v>
      </c>
      <c r="M766" s="8">
        <v>-1.5330099999999999E-2</v>
      </c>
      <c r="N766" s="7">
        <v>3.2563000000000002E-2</v>
      </c>
      <c r="O766" s="7">
        <v>1.1300000000000004E-2</v>
      </c>
      <c r="P766" s="7">
        <v>9.3530000000000002E-4</v>
      </c>
      <c r="Q766" s="7">
        <v>5.8173623071566816E-4</v>
      </c>
      <c r="R766" s="7">
        <v>9.0383000000000005E-2</v>
      </c>
      <c r="S766" s="7">
        <v>1E-4</v>
      </c>
    </row>
    <row r="767" spans="1:19" x14ac:dyDescent="0.3">
      <c r="A767" s="2">
        <v>201010</v>
      </c>
      <c r="B767" s="6">
        <f t="shared" si="22"/>
        <v>3.789496722712931E-2</v>
      </c>
      <c r="C767" s="4">
        <f t="shared" si="23"/>
        <v>3.8625999999999994E-2</v>
      </c>
      <c r="D767" s="5">
        <v>1.8996951923781195E-2</v>
      </c>
      <c r="E767" s="5">
        <v>1.9697102465241267E-2</v>
      </c>
      <c r="F767" s="7">
        <v>6.2277098862464714E-2</v>
      </c>
      <c r="G767" s="7">
        <v>0.30503912787804771</v>
      </c>
      <c r="H767" s="7">
        <v>1.080070447467861E-3</v>
      </c>
      <c r="I767" s="7">
        <v>0.37288728594042309</v>
      </c>
      <c r="J767" s="7">
        <v>7.2316501943521854E-3</v>
      </c>
      <c r="K767" s="8">
        <v>1.2999999999999999E-3</v>
      </c>
      <c r="L767" s="8">
        <v>3.6715699999999997E-2</v>
      </c>
      <c r="M767" s="8">
        <v>-3.1738700000000002E-2</v>
      </c>
      <c r="N767" s="7">
        <v>3.5415699999999994E-2</v>
      </c>
      <c r="O767" s="7">
        <v>1.0400000000000006E-2</v>
      </c>
      <c r="P767" s="7">
        <v>1.1464200000000001E-2</v>
      </c>
      <c r="Q767" s="7">
        <v>1.2451988884769616E-3</v>
      </c>
      <c r="R767" s="7">
        <v>3.8725999999999997E-2</v>
      </c>
      <c r="S767" s="7">
        <v>1E-4</v>
      </c>
    </row>
    <row r="768" spans="1:19" x14ac:dyDescent="0.3">
      <c r="A768" s="2">
        <v>201011</v>
      </c>
      <c r="B768" s="6">
        <f t="shared" si="22"/>
        <v>-1.5099630087753928E-4</v>
      </c>
      <c r="C768" s="4">
        <f t="shared" si="23"/>
        <v>-1.5100000000000001E-4</v>
      </c>
      <c r="D768" s="5">
        <v>1.914672539635481E-2</v>
      </c>
      <c r="E768" s="5">
        <v>1.9102873980922763E-2</v>
      </c>
      <c r="F768" s="7">
        <v>6.3970183389098295E-2</v>
      </c>
      <c r="G768" s="7">
        <v>0.29930702683615823</v>
      </c>
      <c r="H768" s="7">
        <v>1.737952020951429E-3</v>
      </c>
      <c r="I768" s="7">
        <v>0.37669475432536009</v>
      </c>
      <c r="J768" s="7">
        <v>1.4798012313503108E-2</v>
      </c>
      <c r="K768" s="8">
        <v>1.4000000000000002E-3</v>
      </c>
      <c r="L768" s="8">
        <v>3.80256E-2</v>
      </c>
      <c r="M768" s="8">
        <v>-1.37264E-2</v>
      </c>
      <c r="N768" s="7">
        <v>3.6625600000000001E-2</v>
      </c>
      <c r="O768" s="7">
        <v>1.0500000000000002E-2</v>
      </c>
      <c r="P768" s="7">
        <v>7.9989999999999992E-3</v>
      </c>
      <c r="Q768" s="7">
        <v>4.206464238194485E-4</v>
      </c>
      <c r="R768" s="7">
        <v>-5.1E-5</v>
      </c>
      <c r="S768" s="7">
        <v>1E-4</v>
      </c>
    </row>
    <row r="769" spans="1:19" x14ac:dyDescent="0.3">
      <c r="A769" s="2">
        <v>201012</v>
      </c>
      <c r="B769" s="6">
        <f t="shared" si="22"/>
        <v>6.4802522382566077E-2</v>
      </c>
      <c r="C769" s="4">
        <f t="shared" si="23"/>
        <v>6.6955000000000001E-2</v>
      </c>
      <c r="D769" s="5">
        <v>1.8072739416685218E-2</v>
      </c>
      <c r="E769" s="5">
        <v>1.9252890601838126E-2</v>
      </c>
      <c r="F769" s="7">
        <v>6.1504087020132936E-2</v>
      </c>
      <c r="G769" s="7">
        <v>0.29384615384615387</v>
      </c>
      <c r="H769" s="7">
        <v>8.321360373712551E-4</v>
      </c>
      <c r="I769" s="7">
        <v>0.35810031690752153</v>
      </c>
      <c r="J769" s="7">
        <v>1.2611848285473015E-2</v>
      </c>
      <c r="K769" s="8">
        <v>1.4000000000000002E-3</v>
      </c>
      <c r="L769" s="8">
        <v>4.1378199999999997E-2</v>
      </c>
      <c r="M769" s="8">
        <v>-3.8814300000000003E-2</v>
      </c>
      <c r="N769" s="7">
        <v>3.9978199999999998E-2</v>
      </c>
      <c r="O769" s="7">
        <v>1.0800000000000004E-2</v>
      </c>
      <c r="P769" s="7">
        <v>3.5195200000000003E-2</v>
      </c>
      <c r="Q769" s="7">
        <v>1.718440789203024E-3</v>
      </c>
      <c r="R769" s="7">
        <v>6.7055000000000003E-2</v>
      </c>
      <c r="S769" s="7">
        <v>1E-4</v>
      </c>
    </row>
    <row r="770" spans="1:19" x14ac:dyDescent="0.3">
      <c r="A770" s="2">
        <v>201101</v>
      </c>
      <c r="B770" s="6">
        <f t="shared" si="22"/>
        <v>2.2980587259728555E-2</v>
      </c>
      <c r="C770" s="4">
        <f t="shared" si="23"/>
        <v>2.3249000000000002E-2</v>
      </c>
      <c r="D770" s="5">
        <v>1.7854477031692222E-2</v>
      </c>
      <c r="E770" s="5">
        <v>1.8258802200947805E-2</v>
      </c>
      <c r="F770" s="7">
        <v>6.1168475725437758E-2</v>
      </c>
      <c r="G770" s="7">
        <v>0.29189017414516333</v>
      </c>
      <c r="H770" s="7">
        <v>8.6323005418803035E-4</v>
      </c>
      <c r="I770" s="7">
        <v>0.34863222370128311</v>
      </c>
      <c r="J770" s="7">
        <v>1.5367889996054082E-2</v>
      </c>
      <c r="K770" s="8">
        <v>1.5E-3</v>
      </c>
      <c r="L770" s="8">
        <v>4.3200000000000002E-2</v>
      </c>
      <c r="M770" s="8">
        <v>-1.9599999999999999E-2</v>
      </c>
      <c r="N770" s="7">
        <v>4.1700000000000001E-2</v>
      </c>
      <c r="O770" s="7">
        <v>1.0499999999999995E-2</v>
      </c>
      <c r="P770" s="7">
        <v>-2.0000000000000226E-4</v>
      </c>
      <c r="Q770" s="7">
        <v>4.7632300539741657E-3</v>
      </c>
      <c r="R770" s="7">
        <v>2.3349000000000002E-2</v>
      </c>
      <c r="S770" s="7">
        <v>1E-4</v>
      </c>
    </row>
    <row r="771" spans="1:19" x14ac:dyDescent="0.3">
      <c r="A771" s="2">
        <v>201102</v>
      </c>
      <c r="B771" s="6">
        <f t="shared" ref="B771:B834" si="24">LN(R771+1) - LN(S771+1)</f>
        <v>3.1890799006719803E-2</v>
      </c>
      <c r="C771" s="4">
        <f t="shared" ref="C771:C834" si="25">R771 - S771</f>
        <v>3.2407999999999999E-2</v>
      </c>
      <c r="D771" s="5">
        <v>1.7477886107804284E-2</v>
      </c>
      <c r="E771" s="5">
        <v>1.8036419618698105E-2</v>
      </c>
      <c r="F771" s="7">
        <v>6.0268832597459354E-2</v>
      </c>
      <c r="G771" s="7">
        <v>0.28999874984373047</v>
      </c>
      <c r="H771" s="7">
        <v>1.0655333840297581E-3</v>
      </c>
      <c r="I771" s="7">
        <v>0.33909657346352218</v>
      </c>
      <c r="J771" s="7">
        <v>1.5918112378717847E-2</v>
      </c>
      <c r="K771" s="8">
        <v>1.2999999999999999E-3</v>
      </c>
      <c r="L771" s="8">
        <v>4.2599999999999999E-2</v>
      </c>
      <c r="M771" s="8">
        <v>1.1299999999999999E-2</v>
      </c>
      <c r="N771" s="7">
        <v>4.1299999999999996E-2</v>
      </c>
      <c r="O771" s="7">
        <v>9.3000000000000096E-3</v>
      </c>
      <c r="P771" s="7">
        <v>4.3999999999999994E-3</v>
      </c>
      <c r="Q771" s="7">
        <v>4.9313650254514396E-3</v>
      </c>
      <c r="R771" s="7">
        <v>3.2508000000000002E-2</v>
      </c>
      <c r="S771" s="7">
        <v>1E-4</v>
      </c>
    </row>
    <row r="772" spans="1:19" x14ac:dyDescent="0.3">
      <c r="A772" s="2">
        <v>201103</v>
      </c>
      <c r="B772" s="6">
        <f t="shared" si="24"/>
        <v>5.2480976850888066E-4</v>
      </c>
      <c r="C772" s="4">
        <f t="shared" si="25"/>
        <v>5.2499999999999997E-4</v>
      </c>
      <c r="D772" s="5">
        <v>1.7672703136902924E-2</v>
      </c>
      <c r="E772" s="5">
        <v>1.7654194481698592E-2</v>
      </c>
      <c r="F772" s="7">
        <v>6.1327621188236807E-2</v>
      </c>
      <c r="G772" s="7">
        <v>0.28816873693272665</v>
      </c>
      <c r="H772" s="7">
        <v>2.3472642623941094E-3</v>
      </c>
      <c r="I772" s="7">
        <v>0.35426993935743722</v>
      </c>
      <c r="J772" s="7">
        <v>1.2476033022314231E-2</v>
      </c>
      <c r="K772" s="8">
        <v>1E-3</v>
      </c>
      <c r="L772" s="8">
        <v>4.2900000000000001E-2</v>
      </c>
      <c r="M772" s="8">
        <v>-5.9999999999999995E-4</v>
      </c>
      <c r="N772" s="7">
        <v>4.19E-2</v>
      </c>
      <c r="O772" s="7">
        <v>9.0000000000000011E-3</v>
      </c>
      <c r="P772" s="7">
        <v>-6.6E-3</v>
      </c>
      <c r="Q772" s="7">
        <v>9.7510720305094001E-3</v>
      </c>
      <c r="R772" s="7">
        <v>6.2500000000000001E-4</v>
      </c>
      <c r="S772" s="7">
        <v>1E-4</v>
      </c>
    </row>
    <row r="773" spans="1:19" x14ac:dyDescent="0.3">
      <c r="A773" s="2">
        <v>201104</v>
      </c>
      <c r="B773" s="6">
        <f t="shared" si="24"/>
        <v>2.9015936469979974E-2</v>
      </c>
      <c r="C773" s="4">
        <f t="shared" si="25"/>
        <v>2.9440999999999998E-2</v>
      </c>
      <c r="D773" s="5">
        <v>1.7405514284387281E-2</v>
      </c>
      <c r="E773" s="5">
        <v>1.7901490638568551E-2</v>
      </c>
      <c r="F773" s="7">
        <v>6.0254276027114299E-2</v>
      </c>
      <c r="G773" s="7">
        <v>0.28886770254371386</v>
      </c>
      <c r="H773" s="7">
        <v>6.3653030118415721E-4</v>
      </c>
      <c r="I773" s="7">
        <v>0.34069680122773904</v>
      </c>
      <c r="J773" s="7">
        <v>9.3801993198437354E-3</v>
      </c>
      <c r="K773" s="8">
        <v>5.9999999999999995E-4</v>
      </c>
      <c r="L773" s="8">
        <v>4.1599999999999998E-2</v>
      </c>
      <c r="M773" s="8">
        <v>1.9900000000000001E-2</v>
      </c>
      <c r="N773" s="7">
        <v>4.0999999999999995E-2</v>
      </c>
      <c r="O773" s="7">
        <v>8.5999999999999965E-3</v>
      </c>
      <c r="P773" s="7">
        <v>4.0000000000000001E-3</v>
      </c>
      <c r="Q773" s="7">
        <v>6.4394295354570641E-3</v>
      </c>
      <c r="R773" s="7">
        <v>2.9440999999999998E-2</v>
      </c>
      <c r="S773" s="7">
        <v>0</v>
      </c>
    </row>
    <row r="774" spans="1:19" x14ac:dyDescent="0.3">
      <c r="A774" s="2">
        <v>201105</v>
      </c>
      <c r="B774" s="6">
        <f t="shared" si="24"/>
        <v>-1.1377478744435166E-2</v>
      </c>
      <c r="C774" s="4">
        <f t="shared" si="25"/>
        <v>-1.1313E-2</v>
      </c>
      <c r="D774" s="5">
        <v>1.7869213995440583E-2</v>
      </c>
      <c r="E774" s="5">
        <v>1.7627963029507462E-2</v>
      </c>
      <c r="F774" s="7">
        <v>6.1713252056695408E-2</v>
      </c>
      <c r="G774" s="7">
        <v>0.28955229873519378</v>
      </c>
      <c r="H774" s="7">
        <v>9.3420362216688961E-4</v>
      </c>
      <c r="I774" s="7">
        <v>0.34722218907396224</v>
      </c>
      <c r="J774" s="7">
        <v>9.1168435782627722E-3</v>
      </c>
      <c r="K774" s="8">
        <v>4.0000000000000002E-4</v>
      </c>
      <c r="L774" s="8">
        <v>3.9100000000000003E-2</v>
      </c>
      <c r="M774" s="8">
        <v>3.5499999999999997E-2</v>
      </c>
      <c r="N774" s="7">
        <v>3.8700000000000005E-2</v>
      </c>
      <c r="O774" s="7">
        <v>8.2000000000000059E-3</v>
      </c>
      <c r="P774" s="7">
        <v>-9.7999999999999962E-3</v>
      </c>
      <c r="Q774" s="7">
        <v>4.7041875272335609E-3</v>
      </c>
      <c r="R774" s="7">
        <v>-1.1313E-2</v>
      </c>
      <c r="S774" s="7">
        <v>0</v>
      </c>
    </row>
    <row r="775" spans="1:19" x14ac:dyDescent="0.3">
      <c r="A775" s="2">
        <v>201106</v>
      </c>
      <c r="B775" s="6">
        <f t="shared" si="24"/>
        <v>-1.6683397156600274E-2</v>
      </c>
      <c r="C775" s="4">
        <f t="shared" si="25"/>
        <v>-1.6545000000000001E-2</v>
      </c>
      <c r="D775" s="5">
        <v>1.8431215168403198E-2</v>
      </c>
      <c r="E775" s="5">
        <v>1.8094707106749926E-2</v>
      </c>
      <c r="F775" s="7">
        <v>6.3507087472740475E-2</v>
      </c>
      <c r="G775" s="7">
        <v>0.29022296411112442</v>
      </c>
      <c r="H775" s="7">
        <v>2.2947473904577844E-3</v>
      </c>
      <c r="I775" s="7">
        <v>0.35157003916438573</v>
      </c>
      <c r="J775" s="7">
        <v>1.173356058834742E-2</v>
      </c>
      <c r="K775" s="8">
        <v>4.0000000000000002E-4</v>
      </c>
      <c r="L775" s="8">
        <v>4.0899999999999999E-2</v>
      </c>
      <c r="M775" s="8">
        <v>-1.7899999999999999E-2</v>
      </c>
      <c r="N775" s="7">
        <v>4.0500000000000001E-2</v>
      </c>
      <c r="O775" s="7">
        <v>7.6000000000000026E-3</v>
      </c>
      <c r="P775" s="7">
        <v>-3.1000000000000021E-3</v>
      </c>
      <c r="Q775" s="7">
        <v>-1.0709670566992902E-3</v>
      </c>
      <c r="R775" s="7">
        <v>-1.6545000000000001E-2</v>
      </c>
      <c r="S775" s="7">
        <v>0</v>
      </c>
    </row>
    <row r="776" spans="1:19" x14ac:dyDescent="0.3">
      <c r="A776" s="2">
        <v>201107</v>
      </c>
      <c r="B776" s="6">
        <f t="shared" si="24"/>
        <v>-2.0027212513551749E-2</v>
      </c>
      <c r="C776" s="4">
        <f t="shared" si="25"/>
        <v>-1.9827999999999998E-2</v>
      </c>
      <c r="D776" s="5">
        <v>1.9052372550840378E-2</v>
      </c>
      <c r="E776" s="5">
        <v>1.8643233583716987E-2</v>
      </c>
      <c r="F776" s="7">
        <v>6.5702995222913493E-2</v>
      </c>
      <c r="G776" s="7">
        <v>0.28997722989949759</v>
      </c>
      <c r="H776" s="7">
        <v>1.8307399767004712E-3</v>
      </c>
      <c r="I776" s="7">
        <v>0.3594189030275281</v>
      </c>
      <c r="J776" s="7">
        <v>1.2370557760125899E-2</v>
      </c>
      <c r="K776" s="8">
        <v>4.0000000000000002E-4</v>
      </c>
      <c r="L776" s="8">
        <v>3.78E-2</v>
      </c>
      <c r="M776" s="8">
        <v>4.2199999999999994E-2</v>
      </c>
      <c r="N776" s="7">
        <v>3.7400000000000003E-2</v>
      </c>
      <c r="O776" s="7">
        <v>8.3000000000000018E-3</v>
      </c>
      <c r="P776" s="7">
        <v>5.1000000000000073E-3</v>
      </c>
      <c r="Q776" s="7">
        <v>8.8604566679362229E-4</v>
      </c>
      <c r="R776" s="7">
        <v>-1.9827999999999998E-2</v>
      </c>
      <c r="S776" s="7">
        <v>0</v>
      </c>
    </row>
    <row r="777" spans="1:19" x14ac:dyDescent="0.3">
      <c r="A777" s="2">
        <v>201108</v>
      </c>
      <c r="B777" s="6">
        <f t="shared" si="24"/>
        <v>-5.5954200865827329E-2</v>
      </c>
      <c r="C777" s="4">
        <f t="shared" si="25"/>
        <v>-5.4423000000000006E-2</v>
      </c>
      <c r="D777" s="5">
        <v>2.0429242999778486E-2</v>
      </c>
      <c r="E777" s="5">
        <v>1.9269043860463676E-2</v>
      </c>
      <c r="F777" s="7">
        <v>7.0509507283949599E-2</v>
      </c>
      <c r="G777" s="7">
        <v>0.28973742388395457</v>
      </c>
      <c r="H777" s="7">
        <v>1.9222216236125848E-2</v>
      </c>
      <c r="I777" s="7">
        <v>0.37581252211859789</v>
      </c>
      <c r="J777" s="7">
        <v>1.2726560965933505E-2</v>
      </c>
      <c r="K777" s="8">
        <v>2.0000000000000001E-4</v>
      </c>
      <c r="L777" s="8">
        <v>3.15E-2</v>
      </c>
      <c r="M777" s="8">
        <v>8.6199999999999999E-2</v>
      </c>
      <c r="N777" s="7">
        <v>3.1300000000000001E-2</v>
      </c>
      <c r="O777" s="7">
        <v>9.8999999999999991E-3</v>
      </c>
      <c r="P777" s="7">
        <v>-6.2199999999999998E-2</v>
      </c>
      <c r="Q777" s="7">
        <v>2.7575889023645495E-3</v>
      </c>
      <c r="R777" s="7">
        <v>-5.4323000000000003E-2</v>
      </c>
      <c r="S777" s="7">
        <v>1E-4</v>
      </c>
    </row>
    <row r="778" spans="1:19" x14ac:dyDescent="0.3">
      <c r="A778" s="2">
        <v>201109</v>
      </c>
      <c r="B778" s="6">
        <f t="shared" si="24"/>
        <v>-7.2826639564900111E-2</v>
      </c>
      <c r="C778" s="4">
        <f t="shared" si="25"/>
        <v>-7.0237999999999995E-2</v>
      </c>
      <c r="D778" s="5">
        <v>2.2256102950274876E-2</v>
      </c>
      <c r="E778" s="5">
        <v>2.0658960201494801E-2</v>
      </c>
      <c r="F778" s="7">
        <v>7.6876845026603718E-2</v>
      </c>
      <c r="G778" s="7">
        <v>0.28950333409979312</v>
      </c>
      <c r="H778" s="7">
        <v>6.9158593554289318E-3</v>
      </c>
      <c r="I778" s="7">
        <v>0.39992284700065428</v>
      </c>
      <c r="J778" s="7">
        <v>1.3049305670501906E-2</v>
      </c>
      <c r="K778" s="8">
        <v>1E-4</v>
      </c>
      <c r="L778" s="8">
        <v>2.6499999999999999E-2</v>
      </c>
      <c r="M778" s="8">
        <v>7.0400000000000004E-2</v>
      </c>
      <c r="N778" s="7">
        <v>2.64E-2</v>
      </c>
      <c r="O778" s="7">
        <v>1.1799999999999998E-2</v>
      </c>
      <c r="P778" s="7">
        <v>-1.2900000000000002E-2</v>
      </c>
      <c r="Q778" s="7">
        <v>1.5184621156945077E-3</v>
      </c>
      <c r="R778" s="7">
        <v>-7.0237999999999995E-2</v>
      </c>
      <c r="S778" s="7">
        <v>0</v>
      </c>
    </row>
    <row r="779" spans="1:19" x14ac:dyDescent="0.3">
      <c r="A779" s="2">
        <v>201110</v>
      </c>
      <c r="B779" s="6">
        <f t="shared" si="24"/>
        <v>0.10347133227412068</v>
      </c>
      <c r="C779" s="4">
        <f t="shared" si="25"/>
        <v>0.109014</v>
      </c>
      <c r="D779" s="5">
        <v>2.0422617622809117E-2</v>
      </c>
      <c r="E779" s="5">
        <v>2.2622604043296624E-2</v>
      </c>
      <c r="F779" s="7">
        <v>6.9392803000079786E-2</v>
      </c>
      <c r="G779" s="7">
        <v>0.29430454946150014</v>
      </c>
      <c r="H779" s="7">
        <v>7.40085535063373E-3</v>
      </c>
      <c r="I779" s="7">
        <v>0.36507790457724421</v>
      </c>
      <c r="J779" s="7">
        <v>7.8925058136703145E-3</v>
      </c>
      <c r="K779" s="8">
        <v>2.0000000000000001E-4</v>
      </c>
      <c r="L779" s="8">
        <v>2.9100000000000001E-2</v>
      </c>
      <c r="M779" s="8">
        <v>-3.0600000000000002E-2</v>
      </c>
      <c r="N779" s="7">
        <v>2.8900000000000002E-2</v>
      </c>
      <c r="O779" s="7">
        <v>1.3899999999999996E-2</v>
      </c>
      <c r="P779" s="7">
        <v>0.04</v>
      </c>
      <c r="Q779" s="7">
        <v>-2.0626826333582926E-3</v>
      </c>
      <c r="R779" s="7">
        <v>0.109014</v>
      </c>
      <c r="S779" s="7">
        <v>0</v>
      </c>
    </row>
    <row r="780" spans="1:19" x14ac:dyDescent="0.3">
      <c r="A780" s="2">
        <v>201111</v>
      </c>
      <c r="B780" s="6">
        <f t="shared" si="24"/>
        <v>-2.7307250381606173E-3</v>
      </c>
      <c r="C780" s="4">
        <f t="shared" si="25"/>
        <v>-2.7269999999999998E-3</v>
      </c>
      <c r="D780" s="5">
        <v>2.0858995744316839E-2</v>
      </c>
      <c r="E780" s="5">
        <v>2.0753477486103351E-2</v>
      </c>
      <c r="F780" s="7">
        <v>6.9737601847693578E-2</v>
      </c>
      <c r="G780" s="7">
        <v>0.29910686905857098</v>
      </c>
      <c r="H780" s="7">
        <v>7.6796025081654357E-3</v>
      </c>
      <c r="I780" s="7">
        <v>0.36232989752342748</v>
      </c>
      <c r="J780" s="7">
        <v>-4.3403158629061493E-3</v>
      </c>
      <c r="K780" s="8">
        <v>1E-4</v>
      </c>
      <c r="L780" s="8">
        <v>2.7300000000000001E-2</v>
      </c>
      <c r="M780" s="8">
        <v>2.5099999999999997E-2</v>
      </c>
      <c r="N780" s="7">
        <v>2.7200000000000002E-2</v>
      </c>
      <c r="O780" s="7">
        <v>1.2699999999999996E-2</v>
      </c>
      <c r="P780" s="7">
        <v>-6.0699999999999997E-2</v>
      </c>
      <c r="Q780" s="7">
        <v>-8.4356133044194426E-4</v>
      </c>
      <c r="R780" s="7">
        <v>-2.7269999999999998E-3</v>
      </c>
      <c r="S780" s="7">
        <v>0</v>
      </c>
    </row>
    <row r="781" spans="1:19" x14ac:dyDescent="0.3">
      <c r="A781" s="2">
        <v>201112</v>
      </c>
      <c r="B781" s="6">
        <f t="shared" si="24"/>
        <v>9.3828431297916532E-3</v>
      </c>
      <c r="C781" s="4">
        <f t="shared" si="25"/>
        <v>9.4269999999999996E-3</v>
      </c>
      <c r="D781" s="5">
        <v>2.1012245547073791E-2</v>
      </c>
      <c r="E781" s="5">
        <v>2.1191537819978182E-2</v>
      </c>
      <c r="F781" s="7">
        <v>6.9139631043257002E-2</v>
      </c>
      <c r="G781" s="7">
        <v>0.30391029327199537</v>
      </c>
      <c r="H781" s="7">
        <v>2.7640924377300533E-3</v>
      </c>
      <c r="I781" s="7">
        <v>0.35723254070370847</v>
      </c>
      <c r="J781" s="7">
        <v>-6.4973286067504217E-3</v>
      </c>
      <c r="K781" s="8">
        <v>1E-4</v>
      </c>
      <c r="L781" s="8">
        <v>2.5499999999999998E-2</v>
      </c>
      <c r="M781" s="8">
        <v>2.7000000000000003E-2</v>
      </c>
      <c r="N781" s="7">
        <v>2.5399999999999999E-2</v>
      </c>
      <c r="O781" s="7">
        <v>1.3199999999999996E-2</v>
      </c>
      <c r="P781" s="7">
        <v>2.4199999999999999E-2</v>
      </c>
      <c r="Q781" s="7">
        <v>-2.4665163771382392E-3</v>
      </c>
      <c r="R781" s="7">
        <v>9.4269999999999996E-3</v>
      </c>
      <c r="S781" s="7">
        <v>0</v>
      </c>
    </row>
    <row r="782" spans="1:19" x14ac:dyDescent="0.3">
      <c r="A782" s="2">
        <v>201201</v>
      </c>
      <c r="B782" s="6">
        <f t="shared" si="24"/>
        <v>4.4213038426318595E-2</v>
      </c>
      <c r="C782" s="4">
        <f t="shared" si="25"/>
        <v>4.5205000000000002E-2</v>
      </c>
      <c r="D782" s="5">
        <v>2.0370412701315389E-2</v>
      </c>
      <c r="E782" s="5">
        <v>2.1258216709075489E-2</v>
      </c>
      <c r="F782" s="7">
        <v>6.6655999268521268E-2</v>
      </c>
      <c r="G782" s="7">
        <v>0.30560509068739516</v>
      </c>
      <c r="H782" s="7">
        <v>6.4813402485915409E-4</v>
      </c>
      <c r="I782" s="7">
        <v>0.34548730260882093</v>
      </c>
      <c r="J782" s="7">
        <v>-1.3062141957184652E-2</v>
      </c>
      <c r="K782" s="8">
        <v>2.9999999999999997E-4</v>
      </c>
      <c r="L782" s="8">
        <v>2.4899999999999999E-2</v>
      </c>
      <c r="M782" s="8">
        <v>2.0000000000000001E-4</v>
      </c>
      <c r="N782" s="7">
        <v>2.4599999999999997E-2</v>
      </c>
      <c r="O782" s="7">
        <v>1.3800000000000007E-2</v>
      </c>
      <c r="P782" s="7">
        <v>1.9200000000000002E-2</v>
      </c>
      <c r="Q782" s="7">
        <v>4.4001914282676413E-3</v>
      </c>
      <c r="R782" s="7">
        <v>4.5205000000000002E-2</v>
      </c>
      <c r="S782" s="7">
        <v>0</v>
      </c>
    </row>
    <row r="783" spans="1:19" x14ac:dyDescent="0.3">
      <c r="A783" s="2">
        <v>201202</v>
      </c>
      <c r="B783" s="6">
        <f t="shared" si="24"/>
        <v>4.2428064099765524E-2</v>
      </c>
      <c r="C783" s="4">
        <f t="shared" si="25"/>
        <v>4.3340999999999998E-2</v>
      </c>
      <c r="D783" s="5">
        <v>1.98023451076875E-2</v>
      </c>
      <c r="E783" s="5">
        <v>2.060611140319463E-2</v>
      </c>
      <c r="F783" s="7">
        <v>6.444408646242164E-2</v>
      </c>
      <c r="G783" s="7">
        <v>0.30727947581714204</v>
      </c>
      <c r="H783" s="7">
        <v>6.2370002441887223E-4</v>
      </c>
      <c r="I783" s="7">
        <v>0.33697393544043541</v>
      </c>
      <c r="J783" s="7">
        <v>-1.4466309672974274E-2</v>
      </c>
      <c r="K783" s="8">
        <v>8.9999999999999998E-4</v>
      </c>
      <c r="L783" s="8">
        <v>2.7199999999999998E-2</v>
      </c>
      <c r="M783" s="8">
        <v>-1.9599999999999999E-2</v>
      </c>
      <c r="N783" s="7">
        <v>2.6299999999999997E-2</v>
      </c>
      <c r="O783" s="7">
        <v>1.2899999999999995E-2</v>
      </c>
      <c r="P783" s="7">
        <v>2.53E-2</v>
      </c>
      <c r="Q783" s="7">
        <v>4.4029735512762791E-3</v>
      </c>
      <c r="R783" s="7">
        <v>4.3340999999999998E-2</v>
      </c>
      <c r="S783" s="7">
        <v>0</v>
      </c>
    </row>
    <row r="784" spans="1:19" x14ac:dyDescent="0.3">
      <c r="A784" s="2">
        <v>201203</v>
      </c>
      <c r="B784" s="6">
        <f t="shared" si="24"/>
        <v>3.2337462458951326E-2</v>
      </c>
      <c r="C784" s="4">
        <f t="shared" si="25"/>
        <v>3.2865999999999999E-2</v>
      </c>
      <c r="D784" s="5">
        <v>1.9420363941014006E-2</v>
      </c>
      <c r="E784" s="5">
        <v>2.0028850096655143E-2</v>
      </c>
      <c r="F784" s="7">
        <v>6.2862538783218666E-2</v>
      </c>
      <c r="G784" s="7">
        <v>0.30893381522475716</v>
      </c>
      <c r="H784" s="7">
        <v>1.1552698926965471E-3</v>
      </c>
      <c r="I784" s="7">
        <v>0.34618196735704709</v>
      </c>
      <c r="J784" s="7">
        <v>-1.3775054438346415E-2</v>
      </c>
      <c r="K784" s="8">
        <v>8.0000000000000004E-4</v>
      </c>
      <c r="L784" s="8">
        <v>2.9700000000000001E-2</v>
      </c>
      <c r="M784" s="8">
        <v>-3.0200000000000001E-2</v>
      </c>
      <c r="N784" s="7">
        <v>2.8900000000000002E-2</v>
      </c>
      <c r="O784" s="7">
        <v>1.2400000000000001E-2</v>
      </c>
      <c r="P784" s="7">
        <v>-9.9999999999999395E-5</v>
      </c>
      <c r="Q784" s="7">
        <v>7.5945586239309915E-3</v>
      </c>
      <c r="R784" s="7">
        <v>3.2865999999999999E-2</v>
      </c>
      <c r="S784" s="7">
        <v>0</v>
      </c>
    </row>
    <row r="785" spans="1:19" x14ac:dyDescent="0.3">
      <c r="A785" s="2">
        <v>201204</v>
      </c>
      <c r="B785" s="6">
        <f t="shared" si="24"/>
        <v>-6.0522781419635975E-3</v>
      </c>
      <c r="C785" s="4">
        <f t="shared" si="25"/>
        <v>-6.0340000000000003E-3</v>
      </c>
      <c r="D785" s="5">
        <v>1.9797650301760009E-2</v>
      </c>
      <c r="E785" s="5">
        <v>1.9649217472387296E-2</v>
      </c>
      <c r="F785" s="7">
        <v>6.3189571097805527E-2</v>
      </c>
      <c r="G785" s="7">
        <v>0.31330566037735852</v>
      </c>
      <c r="H785" s="7">
        <v>1.6275451387254404E-3</v>
      </c>
      <c r="I785" s="7">
        <v>0.34614031117868449</v>
      </c>
      <c r="J785" s="7">
        <v>-1.2414016736271362E-2</v>
      </c>
      <c r="K785" s="8">
        <v>8.0000000000000004E-4</v>
      </c>
      <c r="L785" s="8">
        <v>2.6800000000000001E-2</v>
      </c>
      <c r="M785" s="8">
        <v>4.0899999999999999E-2</v>
      </c>
      <c r="N785" s="7">
        <v>2.6000000000000002E-2</v>
      </c>
      <c r="O785" s="7">
        <v>1.2300000000000005E-2</v>
      </c>
      <c r="P785" s="7">
        <v>-1.5799999999999998E-2</v>
      </c>
      <c r="Q785" s="7">
        <v>3.0210295040804525E-3</v>
      </c>
      <c r="R785" s="7">
        <v>-6.0340000000000003E-3</v>
      </c>
      <c r="S785" s="7">
        <v>0</v>
      </c>
    </row>
    <row r="786" spans="1:19" x14ac:dyDescent="0.3">
      <c r="A786" s="2">
        <v>201205</v>
      </c>
      <c r="B786" s="6">
        <f t="shared" si="24"/>
        <v>-6.1752019414116233E-2</v>
      </c>
      <c r="C786" s="4">
        <f t="shared" si="25"/>
        <v>-5.9890000000000006E-2</v>
      </c>
      <c r="D786" s="5">
        <v>2.1366882134017131E-2</v>
      </c>
      <c r="E786" s="5">
        <v>2.0028232623464075E-2</v>
      </c>
      <c r="F786" s="7">
        <v>6.7255322450578608E-2</v>
      </c>
      <c r="G786" s="7">
        <v>0.3176980104395189</v>
      </c>
      <c r="H786" s="7">
        <v>1.4960906320587932E-3</v>
      </c>
      <c r="I786" s="7">
        <v>0.36904735969403196</v>
      </c>
      <c r="J786" s="7">
        <v>-1.5270747476820294E-2</v>
      </c>
      <c r="K786" s="8">
        <v>8.9999999999999998E-4</v>
      </c>
      <c r="L786" s="8">
        <v>2.2100000000000002E-2</v>
      </c>
      <c r="M786" s="8">
        <v>6.4299999999999996E-2</v>
      </c>
      <c r="N786" s="7">
        <v>2.12E-2</v>
      </c>
      <c r="O786" s="7">
        <v>1.2700000000000003E-2</v>
      </c>
      <c r="P786" s="7">
        <v>-2.9899999999999996E-2</v>
      </c>
      <c r="Q786" s="7">
        <v>-1.1734793663211729E-3</v>
      </c>
      <c r="R786" s="7">
        <v>-5.9790000000000003E-2</v>
      </c>
      <c r="S786" s="7">
        <v>1E-4</v>
      </c>
    </row>
    <row r="787" spans="1:19" x14ac:dyDescent="0.3">
      <c r="A787" s="2">
        <v>201206</v>
      </c>
      <c r="B787" s="6">
        <f t="shared" si="24"/>
        <v>4.0628375777356091E-2</v>
      </c>
      <c r="C787" s="4">
        <f t="shared" si="25"/>
        <v>4.1465000000000002E-2</v>
      </c>
      <c r="D787" s="5">
        <v>2.0790509191284428E-2</v>
      </c>
      <c r="E787" s="5">
        <v>2.1612876145703754E-2</v>
      </c>
      <c r="F787" s="7">
        <v>6.4544546896106184E-2</v>
      </c>
      <c r="G787" s="7">
        <v>0.3221110100090992</v>
      </c>
      <c r="H787" s="7">
        <v>3.4372280349494926E-3</v>
      </c>
      <c r="I787" s="7">
        <v>0.35510388514365976</v>
      </c>
      <c r="J787" s="7">
        <v>-1.9043070858932625E-2</v>
      </c>
      <c r="K787" s="8">
        <v>8.9999999999999998E-4</v>
      </c>
      <c r="L787" s="8">
        <v>2.3300000000000001E-2</v>
      </c>
      <c r="M787" s="8">
        <v>-1.3600000000000001E-2</v>
      </c>
      <c r="N787" s="7">
        <v>2.24E-2</v>
      </c>
      <c r="O787" s="7">
        <v>1.3799999999999993E-2</v>
      </c>
      <c r="P787" s="7">
        <v>0.02</v>
      </c>
      <c r="Q787" s="7">
        <v>-1.4663968844504938E-3</v>
      </c>
      <c r="R787" s="7">
        <v>4.1465000000000002E-2</v>
      </c>
      <c r="S787" s="7">
        <v>0</v>
      </c>
    </row>
    <row r="788" spans="1:19" x14ac:dyDescent="0.3">
      <c r="A788" s="2">
        <v>201207</v>
      </c>
      <c r="B788" s="6">
        <f t="shared" si="24"/>
        <v>1.4260829272197031E-2</v>
      </c>
      <c r="C788" s="4">
        <f t="shared" si="25"/>
        <v>1.4363000000000001E-2</v>
      </c>
      <c r="D788" s="5">
        <v>2.0838770795271098E-2</v>
      </c>
      <c r="E788" s="5">
        <v>2.1101290107867893E-2</v>
      </c>
      <c r="F788" s="7">
        <v>6.3398389544606526E-2</v>
      </c>
      <c r="G788" s="7">
        <v>0.32869558588091785</v>
      </c>
      <c r="H788" s="7">
        <v>1.5528398791272563E-3</v>
      </c>
      <c r="I788" s="7">
        <v>0.35159370512611582</v>
      </c>
      <c r="J788" s="7">
        <v>-2.0320770017741251E-2</v>
      </c>
      <c r="K788" s="8">
        <v>1E-3</v>
      </c>
      <c r="L788" s="8">
        <v>2.1600000000000001E-2</v>
      </c>
      <c r="M788" s="8">
        <v>2.4700000000000003E-2</v>
      </c>
      <c r="N788" s="7">
        <v>2.06E-2</v>
      </c>
      <c r="O788" s="7">
        <v>1.4699999999999998E-2</v>
      </c>
      <c r="P788" s="7">
        <v>3.6499999999999991E-2</v>
      </c>
      <c r="Q788" s="7">
        <v>-1.6297858618254946E-3</v>
      </c>
      <c r="R788" s="7">
        <v>1.4363000000000001E-2</v>
      </c>
      <c r="S788" s="7">
        <v>0</v>
      </c>
    </row>
    <row r="789" spans="1:19" x14ac:dyDescent="0.3">
      <c r="A789" s="2">
        <v>201208</v>
      </c>
      <c r="B789" s="6">
        <f t="shared" si="24"/>
        <v>2.2389216273530306E-2</v>
      </c>
      <c r="C789" s="4">
        <f t="shared" si="25"/>
        <v>2.2644000000000001E-2</v>
      </c>
      <c r="D789" s="5">
        <v>2.0735874722139277E-2</v>
      </c>
      <c r="E789" s="5">
        <v>2.1145685313536139E-2</v>
      </c>
      <c r="F789" s="7">
        <v>6.1833193514292353E-2</v>
      </c>
      <c r="G789" s="7">
        <v>0.33535183197915069</v>
      </c>
      <c r="H789" s="7">
        <v>7.2712740244161545E-4</v>
      </c>
      <c r="I789" s="7">
        <v>0.34938705232055395</v>
      </c>
      <c r="J789" s="7">
        <v>-1.9782958058707951E-2</v>
      </c>
      <c r="K789" s="8">
        <v>1E-3</v>
      </c>
      <c r="L789" s="8">
        <v>2.23E-2</v>
      </c>
      <c r="M789" s="8">
        <v>-6.8000000000000005E-3</v>
      </c>
      <c r="N789" s="7">
        <v>2.1299999999999999E-2</v>
      </c>
      <c r="O789" s="7">
        <v>1.4300000000000007E-2</v>
      </c>
      <c r="P789" s="7">
        <v>-2.4999999999999988E-3</v>
      </c>
      <c r="Q789" s="7">
        <v>5.5651581814371021E-3</v>
      </c>
      <c r="R789" s="7">
        <v>2.2744E-2</v>
      </c>
      <c r="S789" s="7">
        <v>1E-4</v>
      </c>
    </row>
    <row r="790" spans="1:19" x14ac:dyDescent="0.3">
      <c r="A790" s="2">
        <v>201209</v>
      </c>
      <c r="B790" s="6">
        <f t="shared" si="24"/>
        <v>2.4709683908241114E-2</v>
      </c>
      <c r="C790" s="4">
        <f t="shared" si="25"/>
        <v>2.5020000000000001E-2</v>
      </c>
      <c r="D790" s="5">
        <v>2.053905474536153E-2</v>
      </c>
      <c r="E790" s="5">
        <v>2.1036841132392046E-2</v>
      </c>
      <c r="F790" s="7">
        <v>6.0041508464811509E-2</v>
      </c>
      <c r="G790" s="7">
        <v>0.34208092485549135</v>
      </c>
      <c r="H790" s="7">
        <v>1.0446353443037957E-3</v>
      </c>
      <c r="I790" s="7">
        <v>0.34038295380040234</v>
      </c>
      <c r="J790" s="7">
        <v>-1.74248984527333E-2</v>
      </c>
      <c r="K790" s="8">
        <v>1.1000000000000001E-3</v>
      </c>
      <c r="L790" s="8">
        <v>2.35E-2</v>
      </c>
      <c r="M790" s="8">
        <v>-1.46E-2</v>
      </c>
      <c r="N790" s="7">
        <v>2.24E-2</v>
      </c>
      <c r="O790" s="7">
        <v>1.3499999999999998E-2</v>
      </c>
      <c r="P790" s="7">
        <v>2E-3</v>
      </c>
      <c r="Q790" s="7">
        <v>4.4622122676112319E-3</v>
      </c>
      <c r="R790" s="7">
        <v>2.512E-2</v>
      </c>
      <c r="S790" s="7">
        <v>1E-4</v>
      </c>
    </row>
    <row r="791" spans="1:19" x14ac:dyDescent="0.3">
      <c r="A791" s="2">
        <v>201210</v>
      </c>
      <c r="B791" s="6">
        <f t="shared" si="24"/>
        <v>-1.8097991622411044E-2</v>
      </c>
      <c r="C791" s="4">
        <f t="shared" si="25"/>
        <v>-1.7936999999999998E-2</v>
      </c>
      <c r="D791" s="5">
        <v>2.1344829213892011E-2</v>
      </c>
      <c r="E791" s="5">
        <v>2.0922427775055874E-2</v>
      </c>
      <c r="F791" s="7">
        <v>6.1256042752473747E-2</v>
      </c>
      <c r="G791" s="7">
        <v>0.3484526302187555</v>
      </c>
      <c r="H791" s="7">
        <v>9.2553326096827724E-4</v>
      </c>
      <c r="I791" s="7">
        <v>0.34923712209253499</v>
      </c>
      <c r="J791" s="7">
        <v>-1.5713137276963808E-2</v>
      </c>
      <c r="K791" s="8">
        <v>1E-3</v>
      </c>
      <c r="L791" s="8">
        <v>2.3800000000000002E-2</v>
      </c>
      <c r="M791" s="8">
        <v>-1.4000000000000002E-3</v>
      </c>
      <c r="N791" s="7">
        <v>2.2800000000000001E-2</v>
      </c>
      <c r="O791" s="7">
        <v>1.1099999999999999E-2</v>
      </c>
      <c r="P791" s="7">
        <v>2.1999999999999999E-2</v>
      </c>
      <c r="Q791" s="7">
        <v>-3.8892514055322014E-4</v>
      </c>
      <c r="R791" s="7">
        <v>-1.7836999999999999E-2</v>
      </c>
      <c r="S791" s="7">
        <v>1E-4</v>
      </c>
    </row>
    <row r="792" spans="1:19" x14ac:dyDescent="0.3">
      <c r="A792" s="2">
        <v>201211</v>
      </c>
      <c r="B792" s="6">
        <f t="shared" si="24"/>
        <v>5.211872020953889E-3</v>
      </c>
      <c r="C792" s="4">
        <f t="shared" si="25"/>
        <v>5.2259999999999997E-3</v>
      </c>
      <c r="D792" s="5">
        <v>2.167424200693379E-2</v>
      </c>
      <c r="E792" s="5">
        <v>2.1735942135012672E-2</v>
      </c>
      <c r="F792" s="7">
        <v>6.1084513738837345E-2</v>
      </c>
      <c r="G792" s="7">
        <v>0.35482384454430671</v>
      </c>
      <c r="H792" s="7">
        <v>1.9026489332142663E-3</v>
      </c>
      <c r="I792" s="7">
        <v>0.35113753091992839</v>
      </c>
      <c r="J792" s="7">
        <v>-1.2093927142904953E-2</v>
      </c>
      <c r="K792" s="8">
        <v>8.9999999999999998E-4</v>
      </c>
      <c r="L792" s="8">
        <v>2.2800000000000001E-2</v>
      </c>
      <c r="M792" s="8">
        <v>1.44E-2</v>
      </c>
      <c r="N792" s="7">
        <v>2.1899999999999999E-2</v>
      </c>
      <c r="O792" s="7">
        <v>1.0099999999999998E-2</v>
      </c>
      <c r="P792" s="7">
        <v>-2.3599999999999999E-2</v>
      </c>
      <c r="Q792" s="7">
        <v>-4.73808669488196E-3</v>
      </c>
      <c r="R792" s="7">
        <v>5.326E-3</v>
      </c>
      <c r="S792" s="7">
        <v>1E-4</v>
      </c>
    </row>
    <row r="793" spans="1:19" x14ac:dyDescent="0.3">
      <c r="A793" s="2">
        <v>201212</v>
      </c>
      <c r="B793" s="6">
        <f t="shared" si="24"/>
        <v>8.3720159534617904E-3</v>
      </c>
      <c r="C793" s="4">
        <f t="shared" si="25"/>
        <v>8.4080000000000005E-3</v>
      </c>
      <c r="D793" s="5">
        <v>2.1909382388089416E-2</v>
      </c>
      <c r="E793" s="5">
        <v>2.2064244706230314E-2</v>
      </c>
      <c r="F793" s="7">
        <v>6.0658117081174329E-2</v>
      </c>
      <c r="G793" s="7">
        <v>0.36119456788890575</v>
      </c>
      <c r="H793" s="7">
        <v>1.0357072324698067E-3</v>
      </c>
      <c r="I793" s="7">
        <v>0.34903244318207838</v>
      </c>
      <c r="J793" s="7">
        <v>-1.154912103836373E-2</v>
      </c>
      <c r="K793" s="8">
        <v>7.000000000000001E-4</v>
      </c>
      <c r="L793" s="8">
        <v>2.46E-2</v>
      </c>
      <c r="M793" s="8">
        <v>-2.0199999999999999E-2</v>
      </c>
      <c r="N793" s="7">
        <v>2.3900000000000001E-2</v>
      </c>
      <c r="O793" s="7">
        <v>9.8000000000000032E-3</v>
      </c>
      <c r="P793" s="7">
        <v>1.3999999999999999E-2</v>
      </c>
      <c r="Q793" s="7">
        <v>-2.6930644902072309E-3</v>
      </c>
      <c r="R793" s="7">
        <v>8.5079999999999999E-3</v>
      </c>
      <c r="S793" s="7">
        <v>1E-4</v>
      </c>
    </row>
    <row r="794" spans="1:19" x14ac:dyDescent="0.3">
      <c r="A794" s="2">
        <v>201301</v>
      </c>
      <c r="B794" s="6">
        <f t="shared" si="24"/>
        <v>5.1036211344536786E-2</v>
      </c>
      <c r="C794" s="4">
        <f t="shared" si="25"/>
        <v>5.2360999999999998E-2</v>
      </c>
      <c r="D794" s="5">
        <v>2.1050039984649042E-2</v>
      </c>
      <c r="E794" s="5">
        <v>2.2111552739398379E-2</v>
      </c>
      <c r="F794" s="7">
        <v>5.8010871475837347E-2</v>
      </c>
      <c r="G794" s="7">
        <v>0.36286370897594245</v>
      </c>
      <c r="H794" s="7">
        <v>9.0680129036915748E-4</v>
      </c>
      <c r="I794" s="7">
        <v>0.32998402664246379</v>
      </c>
      <c r="J794" s="7">
        <v>-8.0167348483889261E-3</v>
      </c>
      <c r="K794" s="8">
        <v>7.000000000000001E-4</v>
      </c>
      <c r="L794" s="8">
        <v>2.9100000000000001E-2</v>
      </c>
      <c r="M794" s="8">
        <v>-3.32E-2</v>
      </c>
      <c r="N794" s="7">
        <v>2.8400000000000002E-2</v>
      </c>
      <c r="O794" s="7">
        <v>9.3000000000000027E-3</v>
      </c>
      <c r="P794" s="7">
        <v>1.8999999999999989E-3</v>
      </c>
      <c r="Q794" s="7">
        <v>2.957304192926058E-3</v>
      </c>
      <c r="R794" s="7">
        <v>5.2360999999999998E-2</v>
      </c>
      <c r="S794" s="7">
        <v>0</v>
      </c>
    </row>
    <row r="795" spans="1:19" x14ac:dyDescent="0.3">
      <c r="A795" s="2">
        <v>201302</v>
      </c>
      <c r="B795" s="6">
        <f t="shared" si="24"/>
        <v>1.2929058353007393E-2</v>
      </c>
      <c r="C795" s="4">
        <f t="shared" si="25"/>
        <v>1.3013E-2</v>
      </c>
      <c r="D795" s="5">
        <v>2.101012011430527E-2</v>
      </c>
      <c r="E795" s="5">
        <v>2.1242504712428265E-2</v>
      </c>
      <c r="F795" s="7">
        <v>5.763813698823074E-2</v>
      </c>
      <c r="G795" s="7">
        <v>0.36451768242605365</v>
      </c>
      <c r="H795" s="7">
        <v>1.2427426703674584E-3</v>
      </c>
      <c r="I795" s="7">
        <v>0.32543123229658283</v>
      </c>
      <c r="J795" s="7">
        <v>-8.864254350374445E-3</v>
      </c>
      <c r="K795" s="8">
        <v>1E-3</v>
      </c>
      <c r="L795" s="8">
        <v>2.8500000000000001E-2</v>
      </c>
      <c r="M795" s="8">
        <v>1.1399999999999999E-2</v>
      </c>
      <c r="N795" s="7">
        <v>2.75E-2</v>
      </c>
      <c r="O795" s="7">
        <v>9.4999999999999946E-3</v>
      </c>
      <c r="P795" s="7">
        <v>-2.0999999999999994E-3</v>
      </c>
      <c r="Q795" s="7">
        <v>8.1900295292687275E-3</v>
      </c>
      <c r="R795" s="7">
        <v>1.3013E-2</v>
      </c>
      <c r="S795" s="7">
        <v>0</v>
      </c>
    </row>
    <row r="796" spans="1:19" x14ac:dyDescent="0.3">
      <c r="A796" s="2">
        <v>201303</v>
      </c>
      <c r="B796" s="6">
        <f t="shared" si="24"/>
        <v>3.6894933700742018E-2</v>
      </c>
      <c r="C796" s="4">
        <f t="shared" si="25"/>
        <v>3.7583999999999999E-2</v>
      </c>
      <c r="D796" s="5">
        <v>2.0464024157730572E-2</v>
      </c>
      <c r="E796" s="5">
        <v>2.1200479354100694E-2</v>
      </c>
      <c r="F796" s="7">
        <v>5.5888706912483502E-2</v>
      </c>
      <c r="G796" s="7">
        <v>0.36615669404868012</v>
      </c>
      <c r="H796" s="7">
        <v>4.8451997703589835E-4</v>
      </c>
      <c r="I796" s="7">
        <v>0.34612999655658244</v>
      </c>
      <c r="J796" s="7">
        <v>-8.9106379976270494E-3</v>
      </c>
      <c r="K796" s="8">
        <v>8.9999999999999998E-4</v>
      </c>
      <c r="L796" s="8">
        <v>2.87E-2</v>
      </c>
      <c r="M796" s="8">
        <v>-6.1999999999999998E-3</v>
      </c>
      <c r="N796" s="7">
        <v>2.7799999999999998E-2</v>
      </c>
      <c r="O796" s="7">
        <v>9.1999999999999929E-3</v>
      </c>
      <c r="P796" s="7">
        <v>4.3999999999999994E-3</v>
      </c>
      <c r="Q796" s="7">
        <v>2.6145085843749527E-3</v>
      </c>
      <c r="R796" s="7">
        <v>3.7583999999999999E-2</v>
      </c>
      <c r="S796" s="7">
        <v>0</v>
      </c>
    </row>
    <row r="797" spans="1:19" x14ac:dyDescent="0.3">
      <c r="A797" s="2">
        <v>201304</v>
      </c>
      <c r="B797" s="6">
        <f t="shared" si="24"/>
        <v>1.9430989620001414E-2</v>
      </c>
      <c r="C797" s="4">
        <f t="shared" si="25"/>
        <v>1.9621E-2</v>
      </c>
      <c r="D797" s="5">
        <v>2.0341357073276514E-2</v>
      </c>
      <c r="E797" s="5">
        <v>2.0709246056598855E-2</v>
      </c>
      <c r="F797" s="7">
        <v>5.5573986325064523E-2</v>
      </c>
      <c r="G797" s="7">
        <v>0.36602299777985009</v>
      </c>
      <c r="H797" s="7">
        <v>1.6827472494780206E-3</v>
      </c>
      <c r="I797" s="7">
        <v>0.34003625385786868</v>
      </c>
      <c r="J797" s="7">
        <v>-8.00486075573369E-3</v>
      </c>
      <c r="K797" s="8">
        <v>5.9999999999999995E-4</v>
      </c>
      <c r="L797" s="8">
        <v>2.64E-2</v>
      </c>
      <c r="M797" s="8">
        <v>3.78E-2</v>
      </c>
      <c r="N797" s="7">
        <v>2.58E-2</v>
      </c>
      <c r="O797" s="7">
        <v>8.5999999999999965E-3</v>
      </c>
      <c r="P797" s="7">
        <v>-2.8999999999999998E-3</v>
      </c>
      <c r="Q797" s="7">
        <v>-1.0396394770870732E-3</v>
      </c>
      <c r="R797" s="7">
        <v>1.9621E-2</v>
      </c>
      <c r="S797" s="7">
        <v>0</v>
      </c>
    </row>
    <row r="798" spans="1:19" x14ac:dyDescent="0.3">
      <c r="A798" s="2">
        <v>201305</v>
      </c>
      <c r="B798" s="6">
        <f t="shared" si="24"/>
        <v>2.2856782142927558E-2</v>
      </c>
      <c r="C798" s="4">
        <f t="shared" si="25"/>
        <v>2.3120000000000002E-2</v>
      </c>
      <c r="D798" s="5">
        <v>2.0163570876436145E-2</v>
      </c>
      <c r="E798" s="5">
        <v>2.0582222732674925E-2</v>
      </c>
      <c r="F798" s="7">
        <v>5.510790602221486E-2</v>
      </c>
      <c r="G798" s="7">
        <v>0.36589252490029095</v>
      </c>
      <c r="H798" s="7">
        <v>1.0155556413159745E-3</v>
      </c>
      <c r="I798" s="7">
        <v>0.33383259777831731</v>
      </c>
      <c r="J798" s="7">
        <v>-4.7046859419681919E-3</v>
      </c>
      <c r="K798" s="8">
        <v>4.0000000000000002E-4</v>
      </c>
      <c r="L798" s="8">
        <v>3.09E-2</v>
      </c>
      <c r="M798" s="8">
        <v>-6.2899999999999998E-2</v>
      </c>
      <c r="N798" s="7">
        <v>3.0499999999999999E-2</v>
      </c>
      <c r="O798" s="7">
        <v>8.3999999999999977E-3</v>
      </c>
      <c r="P798" s="7">
        <v>9.2999999999999958E-3</v>
      </c>
      <c r="Q798" s="7">
        <v>1.7804077735872337E-3</v>
      </c>
      <c r="R798" s="7">
        <v>2.3120000000000002E-2</v>
      </c>
      <c r="S798" s="7">
        <v>0</v>
      </c>
    </row>
    <row r="799" spans="1:19" x14ac:dyDescent="0.3">
      <c r="A799" s="2">
        <v>201306</v>
      </c>
      <c r="B799" s="6">
        <f t="shared" si="24"/>
        <v>-1.3694340920026504E-2</v>
      </c>
      <c r="C799" s="4">
        <f t="shared" si="25"/>
        <v>-1.3601E-2</v>
      </c>
      <c r="D799" s="5">
        <v>2.0710175886224442E-2</v>
      </c>
      <c r="E799" s="5">
        <v>2.039953721778125E-2</v>
      </c>
      <c r="F799" s="7">
        <v>5.6621510571008796E-2</v>
      </c>
      <c r="G799" s="7">
        <v>0.36576516022566902</v>
      </c>
      <c r="H799" s="7">
        <v>2.2476742801164954E-3</v>
      </c>
      <c r="I799" s="7">
        <v>0.33844435799753175</v>
      </c>
      <c r="J799" s="7">
        <v>1.1871136469653836E-4</v>
      </c>
      <c r="K799" s="8">
        <v>5.0000000000000001E-4</v>
      </c>
      <c r="L799" s="8">
        <v>3.3000000000000002E-2</v>
      </c>
      <c r="M799" s="8">
        <v>-2.8500000000000001E-2</v>
      </c>
      <c r="N799" s="7">
        <v>3.2500000000000001E-2</v>
      </c>
      <c r="O799" s="7">
        <v>9.2000000000000068E-3</v>
      </c>
      <c r="P799" s="7">
        <v>-8.6E-3</v>
      </c>
      <c r="Q799" s="7">
        <v>2.3997080855995279E-3</v>
      </c>
      <c r="R799" s="7">
        <v>-1.3601E-2</v>
      </c>
      <c r="S799" s="7">
        <v>0</v>
      </c>
    </row>
    <row r="800" spans="1:19" x14ac:dyDescent="0.3">
      <c r="A800" s="2">
        <v>201307</v>
      </c>
      <c r="B800" s="6">
        <f t="shared" si="24"/>
        <v>4.9429959456771463E-2</v>
      </c>
      <c r="C800" s="4">
        <f t="shared" si="25"/>
        <v>5.0672000000000002E-2</v>
      </c>
      <c r="D800" s="5">
        <v>1.9959027449284746E-2</v>
      </c>
      <c r="E800" s="5">
        <v>2.094624308469431E-2</v>
      </c>
      <c r="F800" s="7">
        <v>5.4629151762144591E-2</v>
      </c>
      <c r="G800" s="7">
        <v>0.3653548848092385</v>
      </c>
      <c r="H800" s="7">
        <v>5.0206535780765156E-4</v>
      </c>
      <c r="I800" s="7">
        <v>0.32556256508257658</v>
      </c>
      <c r="J800" s="7">
        <v>8.3606049390245723E-3</v>
      </c>
      <c r="K800" s="8">
        <v>4.0000000000000002E-4</v>
      </c>
      <c r="L800" s="8">
        <v>3.44E-2</v>
      </c>
      <c r="M800" s="8">
        <v>-1.7299999999999999E-2</v>
      </c>
      <c r="N800" s="7">
        <v>3.4000000000000002E-2</v>
      </c>
      <c r="O800" s="7">
        <v>9.8000000000000032E-3</v>
      </c>
      <c r="P800" s="7">
        <v>2.0399999999999998E-2</v>
      </c>
      <c r="Q800" s="7">
        <v>3.9399753323299258E-4</v>
      </c>
      <c r="R800" s="7">
        <v>5.0672000000000002E-2</v>
      </c>
      <c r="S800" s="7">
        <v>0</v>
      </c>
    </row>
    <row r="801" spans="1:19" x14ac:dyDescent="0.3">
      <c r="A801" s="2">
        <v>201308</v>
      </c>
      <c r="B801" s="6">
        <f t="shared" si="24"/>
        <v>-2.9642015703688494E-2</v>
      </c>
      <c r="C801" s="4">
        <f t="shared" si="25"/>
        <v>-2.9207E-2</v>
      </c>
      <c r="D801" s="5">
        <v>2.0836097026669782E-2</v>
      </c>
      <c r="E801" s="5">
        <v>2.0183968584317154E-2</v>
      </c>
      <c r="F801" s="7">
        <v>5.7092291958823489E-2</v>
      </c>
      <c r="G801" s="7">
        <v>0.36495464294369795</v>
      </c>
      <c r="H801" s="7">
        <v>9.5042459261886105E-4</v>
      </c>
      <c r="I801" s="7">
        <v>0.34071332740503069</v>
      </c>
      <c r="J801" s="7">
        <v>1.0332112558112966E-2</v>
      </c>
      <c r="K801" s="8">
        <v>4.0000000000000002E-4</v>
      </c>
      <c r="L801" s="8">
        <v>3.5099999999999999E-2</v>
      </c>
      <c r="M801" s="8">
        <v>-7.9000000000000008E-3</v>
      </c>
      <c r="N801" s="7">
        <v>3.4700000000000002E-2</v>
      </c>
      <c r="O801" s="7">
        <v>8.7999999999999953E-3</v>
      </c>
      <c r="P801" s="7">
        <v>5.0000000000000044E-4</v>
      </c>
      <c r="Q801" s="7">
        <v>1.2029315570472043E-3</v>
      </c>
      <c r="R801" s="7">
        <v>-2.9207E-2</v>
      </c>
      <c r="S801" s="7">
        <v>0</v>
      </c>
    </row>
    <row r="802" spans="1:19" x14ac:dyDescent="0.3">
      <c r="A802" s="2">
        <v>201309</v>
      </c>
      <c r="B802" s="6">
        <f t="shared" si="24"/>
        <v>3.1169155412029519E-2</v>
      </c>
      <c r="C802" s="4">
        <f t="shared" si="25"/>
        <v>3.1660000000000001E-2</v>
      </c>
      <c r="D802" s="5">
        <v>2.0459642223662183E-2</v>
      </c>
      <c r="E802" s="5">
        <v>2.1068305836114038E-2</v>
      </c>
      <c r="F802" s="7">
        <v>5.612084089084475E-2</v>
      </c>
      <c r="G802" s="7">
        <v>0.36456407100984578</v>
      </c>
      <c r="H802" s="7">
        <v>6.222223076099544E-4</v>
      </c>
      <c r="I802" s="7">
        <v>0.33352148460607534</v>
      </c>
      <c r="J802" s="7">
        <v>1.0118700518092449E-2</v>
      </c>
      <c r="K802" s="8">
        <v>2.0000000000000001E-4</v>
      </c>
      <c r="L802" s="8">
        <v>3.49E-2</v>
      </c>
      <c r="M802" s="8">
        <v>6.0999999999999995E-3</v>
      </c>
      <c r="N802" s="7">
        <v>3.4700000000000002E-2</v>
      </c>
      <c r="O802" s="7">
        <v>8.3000000000000018E-3</v>
      </c>
      <c r="P802" s="7">
        <v>-4.6999999999999993E-3</v>
      </c>
      <c r="Q802" s="7">
        <v>1.1630044852635191E-3</v>
      </c>
      <c r="R802" s="7">
        <v>3.1660000000000001E-2</v>
      </c>
      <c r="S802" s="7">
        <v>0</v>
      </c>
    </row>
    <row r="803" spans="1:19" x14ac:dyDescent="0.3">
      <c r="A803" s="2">
        <v>201310</v>
      </c>
      <c r="B803" s="6">
        <f t="shared" si="24"/>
        <v>4.5229546974630983E-2</v>
      </c>
      <c r="C803" s="4">
        <f t="shared" si="25"/>
        <v>4.6267999999999997E-2</v>
      </c>
      <c r="D803" s="5">
        <v>1.9697789759439088E-2</v>
      </c>
      <c r="E803" s="5">
        <v>2.0576227661410686E-2</v>
      </c>
      <c r="F803" s="7">
        <v>5.4831278156679229E-2</v>
      </c>
      <c r="G803" s="7">
        <v>0.35924367298447918</v>
      </c>
      <c r="H803" s="7">
        <v>1.4383685762422156E-3</v>
      </c>
      <c r="I803" s="7">
        <v>0.3245948249521573</v>
      </c>
      <c r="J803" s="7">
        <v>9.6228183233632181E-3</v>
      </c>
      <c r="K803" s="8">
        <v>5.0000000000000001E-4</v>
      </c>
      <c r="L803" s="8">
        <v>3.4200000000000001E-2</v>
      </c>
      <c r="M803" s="8">
        <v>1.2800000000000001E-2</v>
      </c>
      <c r="N803" s="7">
        <v>3.3700000000000001E-2</v>
      </c>
      <c r="O803" s="7">
        <v>7.7999999999999944E-3</v>
      </c>
      <c r="P803" s="7">
        <v>8.3000000000000001E-3</v>
      </c>
      <c r="Q803" s="7">
        <v>-2.5752832598047171E-3</v>
      </c>
      <c r="R803" s="7">
        <v>4.6267999999999997E-2</v>
      </c>
      <c r="S803" s="7">
        <v>0</v>
      </c>
    </row>
    <row r="804" spans="1:19" x14ac:dyDescent="0.3">
      <c r="A804" s="2">
        <v>201311</v>
      </c>
      <c r="B804" s="6">
        <f t="shared" si="24"/>
        <v>3.0351691705094341E-2</v>
      </c>
      <c r="C804" s="4">
        <f t="shared" si="25"/>
        <v>3.0817000000000001E-2</v>
      </c>
      <c r="D804" s="5">
        <v>1.9268915260681429E-2</v>
      </c>
      <c r="E804" s="5">
        <v>1.9809397945330667E-2</v>
      </c>
      <c r="F804" s="7">
        <v>5.4411409099886843E-2</v>
      </c>
      <c r="G804" s="7">
        <v>0.35413373002908505</v>
      </c>
      <c r="H804" s="7">
        <v>6.4439890744477353E-4</v>
      </c>
      <c r="I804" s="7">
        <v>0.31368527844310817</v>
      </c>
      <c r="J804" s="7">
        <v>1.0324775056180759E-2</v>
      </c>
      <c r="K804" s="8">
        <v>7.000000000000001E-4</v>
      </c>
      <c r="L804" s="8">
        <v>3.61E-2</v>
      </c>
      <c r="M804" s="8">
        <v>-2.3599999999999999E-2</v>
      </c>
      <c r="N804" s="7">
        <v>3.5400000000000001E-2</v>
      </c>
      <c r="O804" s="7">
        <v>7.4999999999999997E-3</v>
      </c>
      <c r="P804" s="7">
        <v>1.4999999999999999E-2</v>
      </c>
      <c r="Q804" s="7">
        <v>-2.042424190523473E-3</v>
      </c>
      <c r="R804" s="7">
        <v>3.0817000000000001E-2</v>
      </c>
      <c r="S804" s="7">
        <v>0</v>
      </c>
    </row>
    <row r="805" spans="1:19" x14ac:dyDescent="0.3">
      <c r="A805" s="2">
        <v>201312</v>
      </c>
      <c r="B805" s="6">
        <f t="shared" si="24"/>
        <v>2.5619012617619456E-2</v>
      </c>
      <c r="C805" s="4">
        <f t="shared" si="25"/>
        <v>2.5950000000000001E-2</v>
      </c>
      <c r="D805" s="5">
        <v>1.8931400868736136E-2</v>
      </c>
      <c r="E805" s="5">
        <v>1.9377478311526197E-2</v>
      </c>
      <c r="F805" s="7">
        <v>5.421021878854769E-2</v>
      </c>
      <c r="G805" s="7">
        <v>0.34922199710316487</v>
      </c>
      <c r="H805" s="7">
        <v>7.4551649486530671E-4</v>
      </c>
      <c r="I805" s="7">
        <v>0.30440812564171549</v>
      </c>
      <c r="J805" s="7">
        <v>1.214394603236147E-2</v>
      </c>
      <c r="K805" s="8">
        <v>7.000000000000001E-4</v>
      </c>
      <c r="L805" s="8">
        <v>3.78E-2</v>
      </c>
      <c r="M805" s="8">
        <v>-2.07E-2</v>
      </c>
      <c r="N805" s="7">
        <v>3.7100000000000001E-2</v>
      </c>
      <c r="O805" s="7">
        <v>7.6000000000000026E-3</v>
      </c>
      <c r="P805" s="7">
        <v>2.0899999999999998E-2</v>
      </c>
      <c r="Q805" s="7">
        <v>-8.5811497882559706E-5</v>
      </c>
      <c r="R805" s="7">
        <v>2.5950000000000001E-2</v>
      </c>
      <c r="S805" s="7">
        <v>0</v>
      </c>
    </row>
    <row r="806" spans="1:19" x14ac:dyDescent="0.3">
      <c r="A806" s="2">
        <v>201401</v>
      </c>
      <c r="B806" s="6">
        <f t="shared" si="24"/>
        <v>-3.5281123537143397E-2</v>
      </c>
      <c r="C806" s="4">
        <f t="shared" si="25"/>
        <v>-3.4666000000000002E-2</v>
      </c>
      <c r="D806" s="5">
        <v>1.9860945271072013E-2</v>
      </c>
      <c r="E806" s="5">
        <v>1.9154235338765317E-2</v>
      </c>
      <c r="F806" s="7">
        <v>5.6331891610895753E-2</v>
      </c>
      <c r="G806" s="7">
        <v>0.35257018188308975</v>
      </c>
      <c r="H806" s="7">
        <v>1.3035883972254401E-3</v>
      </c>
      <c r="I806" s="7">
        <v>0.32142927666676219</v>
      </c>
      <c r="J806" s="7">
        <v>1.376542111667972E-2</v>
      </c>
      <c r="K806" s="8">
        <v>4.0000000000000002E-4</v>
      </c>
      <c r="L806" s="8">
        <v>3.4200000000000001E-2</v>
      </c>
      <c r="M806" s="8">
        <v>5.4800000000000001E-2</v>
      </c>
      <c r="N806" s="7">
        <v>3.3800000000000004E-2</v>
      </c>
      <c r="O806" s="7">
        <v>6.9999999999999993E-3</v>
      </c>
      <c r="P806" s="7">
        <v>-2.1700000000000004E-2</v>
      </c>
      <c r="Q806" s="7">
        <v>3.7202476732360878E-3</v>
      </c>
      <c r="R806" s="7">
        <v>-3.4666000000000002E-2</v>
      </c>
      <c r="S806" s="7">
        <v>0</v>
      </c>
    </row>
    <row r="807" spans="1:19" x14ac:dyDescent="0.3">
      <c r="A807" s="2">
        <v>201402</v>
      </c>
      <c r="B807" s="6">
        <f t="shared" si="24"/>
        <v>4.4741025078226686E-2</v>
      </c>
      <c r="C807" s="4">
        <f t="shared" si="25"/>
        <v>4.5756999999999999E-2</v>
      </c>
      <c r="D807" s="5">
        <v>1.9261502461364058E-2</v>
      </c>
      <c r="E807" s="5">
        <v>2.0092001386624744E-2</v>
      </c>
      <c r="F807" s="7">
        <v>5.4119945862127684E-2</v>
      </c>
      <c r="G807" s="7">
        <v>0.35590394917307122</v>
      </c>
      <c r="H807" s="7">
        <v>1.2535647470090863E-3</v>
      </c>
      <c r="I807" s="7">
        <v>0.30916307176147595</v>
      </c>
      <c r="J807" s="7">
        <v>1.6576156816398444E-2</v>
      </c>
      <c r="K807" s="8">
        <v>5.0000000000000001E-4</v>
      </c>
      <c r="L807" s="8">
        <v>3.39E-2</v>
      </c>
      <c r="M807" s="8">
        <v>7.4000000000000003E-3</v>
      </c>
      <c r="N807" s="7">
        <v>3.3399999999999999E-2</v>
      </c>
      <c r="O807" s="7">
        <v>6.4999999999999919E-3</v>
      </c>
      <c r="P807" s="7">
        <v>9.3999999999999986E-3</v>
      </c>
      <c r="Q807" s="7">
        <v>3.6979086509687509E-3</v>
      </c>
      <c r="R807" s="7">
        <v>4.5756999999999999E-2</v>
      </c>
      <c r="S807" s="7">
        <v>0</v>
      </c>
    </row>
    <row r="808" spans="1:19" x14ac:dyDescent="0.3">
      <c r="A808" s="2">
        <v>201403</v>
      </c>
      <c r="B808" s="6">
        <f t="shared" si="24"/>
        <v>8.0237236615797684E-3</v>
      </c>
      <c r="C808" s="4">
        <f t="shared" si="25"/>
        <v>8.0560000000000007E-3</v>
      </c>
      <c r="D808" s="5">
        <v>1.9348878447721322E-2</v>
      </c>
      <c r="E808" s="5">
        <v>1.9483007917828678E-2</v>
      </c>
      <c r="F808" s="7">
        <v>5.3863080423427377E-2</v>
      </c>
      <c r="G808" s="7">
        <v>0.35922339189694136</v>
      </c>
      <c r="H808" s="7">
        <v>8.6903254595359738E-4</v>
      </c>
      <c r="I808" s="7">
        <v>0.35061606571043513</v>
      </c>
      <c r="J808" s="7">
        <v>1.6416603180449161E-2</v>
      </c>
      <c r="K808" s="8">
        <v>5.0000000000000001E-4</v>
      </c>
      <c r="L808" s="8">
        <v>3.3700000000000001E-2</v>
      </c>
      <c r="M808" s="8">
        <v>6.3E-3</v>
      </c>
      <c r="N808" s="7">
        <v>3.32E-2</v>
      </c>
      <c r="O808" s="7">
        <v>6.8000000000000005E-3</v>
      </c>
      <c r="P808" s="7">
        <v>-1.0000000000000026E-4</v>
      </c>
      <c r="Q808" s="7">
        <v>6.4400441262282282E-3</v>
      </c>
      <c r="R808" s="7">
        <v>8.0560000000000007E-3</v>
      </c>
      <c r="S808" s="7">
        <v>0</v>
      </c>
    </row>
    <row r="809" spans="1:19" x14ac:dyDescent="0.3">
      <c r="A809" s="2">
        <v>201404</v>
      </c>
      <c r="B809" s="6">
        <f t="shared" si="24"/>
        <v>6.5336094134792076E-3</v>
      </c>
      <c r="C809" s="4">
        <f t="shared" si="25"/>
        <v>6.5550000000000001E-3</v>
      </c>
      <c r="D809" s="5">
        <v>1.9433642956294746E-2</v>
      </c>
      <c r="E809" s="5">
        <v>1.9554147028590686E-2</v>
      </c>
      <c r="F809" s="7">
        <v>5.393278307102984E-2</v>
      </c>
      <c r="G809" s="7">
        <v>0.36033080159613695</v>
      </c>
      <c r="H809" s="7">
        <v>1.3626924538060882E-3</v>
      </c>
      <c r="I809" s="7">
        <v>0.34801131908877958</v>
      </c>
      <c r="J809" s="7">
        <v>1.6623198353961033E-2</v>
      </c>
      <c r="K809" s="8">
        <v>2.9999999999999997E-4</v>
      </c>
      <c r="L809" s="8">
        <v>3.2599999999999997E-2</v>
      </c>
      <c r="M809" s="8">
        <v>1.8100000000000002E-2</v>
      </c>
      <c r="N809" s="7">
        <v>3.2299999999999995E-2</v>
      </c>
      <c r="O809" s="7">
        <v>6.6000000000000017E-3</v>
      </c>
      <c r="P809" s="7">
        <v>-2.1000000000000012E-3</v>
      </c>
      <c r="Q809" s="7">
        <v>3.2967544531576909E-3</v>
      </c>
      <c r="R809" s="7">
        <v>6.5550000000000001E-3</v>
      </c>
      <c r="S809" s="7">
        <v>0</v>
      </c>
    </row>
    <row r="810" spans="1:19" x14ac:dyDescent="0.3">
      <c r="A810" s="2">
        <v>201405</v>
      </c>
      <c r="B810" s="6">
        <f t="shared" si="24"/>
        <v>2.3041494146654403E-2</v>
      </c>
      <c r="C810" s="4">
        <f t="shared" si="25"/>
        <v>2.3309E-2</v>
      </c>
      <c r="D810" s="5">
        <v>1.9233167611376993E-2</v>
      </c>
      <c r="E810" s="5">
        <v>1.9637646552305762E-2</v>
      </c>
      <c r="F810" s="7">
        <v>5.3215288933250858E-2</v>
      </c>
      <c r="G810" s="7">
        <v>0.36142183941726957</v>
      </c>
      <c r="H810" s="7">
        <v>5.5520416527989058E-4</v>
      </c>
      <c r="I810" s="7">
        <v>0.3451732559996698</v>
      </c>
      <c r="J810" s="7">
        <v>1.3985257474441307E-2</v>
      </c>
      <c r="K810" s="8">
        <v>2.9999999999999997E-4</v>
      </c>
      <c r="L810" s="8">
        <v>3.09E-2</v>
      </c>
      <c r="M810" s="8">
        <v>2.7900000000000001E-2</v>
      </c>
      <c r="N810" s="7">
        <v>3.0599999999999999E-2</v>
      </c>
      <c r="O810" s="7">
        <v>5.9999999999999984E-3</v>
      </c>
      <c r="P810" s="7">
        <v>-9.1000000000000004E-3</v>
      </c>
      <c r="Q810" s="7">
        <v>3.4926098400485106E-3</v>
      </c>
      <c r="R810" s="7">
        <v>2.3309E-2</v>
      </c>
      <c r="S810" s="7">
        <v>0</v>
      </c>
    </row>
    <row r="811" spans="1:19" x14ac:dyDescent="0.3">
      <c r="A811" s="2">
        <v>201406</v>
      </c>
      <c r="B811" s="6">
        <f t="shared" si="24"/>
        <v>2.0424982612535617E-2</v>
      </c>
      <c r="C811" s="4">
        <f t="shared" si="25"/>
        <v>2.0635000000000001E-2</v>
      </c>
      <c r="D811" s="5">
        <v>1.9069536124292248E-2</v>
      </c>
      <c r="E811" s="5">
        <v>1.9432969321065204E-2</v>
      </c>
      <c r="F811" s="7">
        <v>5.2606071736479902E-2</v>
      </c>
      <c r="G811" s="7">
        <v>0.3624968657575775</v>
      </c>
      <c r="H811" s="7">
        <v>2.8199979941279161E-4</v>
      </c>
      <c r="I811" s="7">
        <v>0.34292845851211773</v>
      </c>
      <c r="J811" s="7">
        <v>1.3885426240707151E-2</v>
      </c>
      <c r="K811" s="8">
        <v>4.0000000000000002E-4</v>
      </c>
      <c r="L811" s="8">
        <v>3.1300000000000001E-2</v>
      </c>
      <c r="M811" s="8">
        <v>-2.5000000000000001E-3</v>
      </c>
      <c r="N811" s="7">
        <v>3.09E-2</v>
      </c>
      <c r="O811" s="7">
        <v>5.4999999999999979E-3</v>
      </c>
      <c r="P811" s="7">
        <v>4.5000000000000005E-3</v>
      </c>
      <c r="Q811" s="7">
        <v>1.8621269440941557E-3</v>
      </c>
      <c r="R811" s="7">
        <v>2.0635000000000001E-2</v>
      </c>
      <c r="S811" s="7">
        <v>0</v>
      </c>
    </row>
    <row r="812" spans="1:19" x14ac:dyDescent="0.3">
      <c r="A812" s="2">
        <v>201407</v>
      </c>
      <c r="B812" s="6">
        <f t="shared" si="24"/>
        <v>-1.4072555558805088E-2</v>
      </c>
      <c r="C812" s="4">
        <f t="shared" si="25"/>
        <v>-1.3974E-2</v>
      </c>
      <c r="D812" s="5">
        <v>1.9553827581508983E-2</v>
      </c>
      <c r="E812" s="5">
        <v>1.9258958538942852E-2</v>
      </c>
      <c r="F812" s="7">
        <v>5.390184063908729E-2</v>
      </c>
      <c r="G812" s="7">
        <v>0.36276734429973045</v>
      </c>
      <c r="H812" s="7">
        <v>9.4912188449221713E-4</v>
      </c>
      <c r="I812" s="7">
        <v>0.34837985184111864</v>
      </c>
      <c r="J812" s="7">
        <v>8.4376900765418001E-3</v>
      </c>
      <c r="K812" s="8">
        <v>2.9999999999999997E-4</v>
      </c>
      <c r="L812" s="8">
        <v>3.1E-2</v>
      </c>
      <c r="M812" s="8">
        <v>5.6999999999999993E-3</v>
      </c>
      <c r="N812" s="7">
        <v>3.0699999999999998E-2</v>
      </c>
      <c r="O812" s="7">
        <v>5.7000000000000037E-3</v>
      </c>
      <c r="P812" s="7">
        <v>-3.2999999999999995E-3</v>
      </c>
      <c r="Q812" s="7">
        <v>-3.901939641608454E-4</v>
      </c>
      <c r="R812" s="7">
        <v>-1.3974E-2</v>
      </c>
      <c r="S812" s="7">
        <v>0</v>
      </c>
    </row>
    <row r="813" spans="1:19" x14ac:dyDescent="0.3">
      <c r="A813" s="2">
        <v>201408</v>
      </c>
      <c r="B813" s="6">
        <f t="shared" si="24"/>
        <v>3.9006267084443491E-2</v>
      </c>
      <c r="C813" s="4">
        <f t="shared" si="25"/>
        <v>3.9777E-2</v>
      </c>
      <c r="D813" s="5">
        <v>1.9029585047526169E-2</v>
      </c>
      <c r="E813" s="5">
        <v>1.9746150194835211E-2</v>
      </c>
      <c r="F813" s="7">
        <v>5.2418341760799722E-2</v>
      </c>
      <c r="G813" s="7">
        <v>0.36303294626075261</v>
      </c>
      <c r="H813" s="7">
        <v>5.4620174589489214E-4</v>
      </c>
      <c r="I813" s="7">
        <v>0.33747620398340195</v>
      </c>
      <c r="J813" s="7">
        <v>6.738969298743987E-3</v>
      </c>
      <c r="K813" s="8">
        <v>2.9999999999999997E-4</v>
      </c>
      <c r="L813" s="8">
        <v>2.87E-2</v>
      </c>
      <c r="M813" s="8">
        <v>3.6900000000000002E-2</v>
      </c>
      <c r="N813" s="7">
        <v>2.8399999999999998E-2</v>
      </c>
      <c r="O813" s="7">
        <v>6.1000000000000013E-3</v>
      </c>
      <c r="P813" s="7">
        <v>-1.3000000000000025E-3</v>
      </c>
      <c r="Q813" s="7">
        <v>-1.6705141657922251E-3</v>
      </c>
      <c r="R813" s="7">
        <v>3.9777E-2</v>
      </c>
      <c r="S813" s="7">
        <v>0</v>
      </c>
    </row>
    <row r="814" spans="1:19" x14ac:dyDescent="0.3">
      <c r="A814" s="2">
        <v>201409</v>
      </c>
      <c r="B814" s="6">
        <f t="shared" si="24"/>
        <v>-1.4025904733127731E-2</v>
      </c>
      <c r="C814" s="4">
        <f t="shared" si="25"/>
        <v>-1.3927999999999999E-2</v>
      </c>
      <c r="D814" s="5">
        <v>1.9517723710272349E-2</v>
      </c>
      <c r="E814" s="5">
        <v>1.921492849375455E-2</v>
      </c>
      <c r="F814" s="7">
        <v>5.3724350881462671E-2</v>
      </c>
      <c r="G814" s="7">
        <v>0.36329380234553649</v>
      </c>
      <c r="H814" s="7">
        <v>7.2102321026521734E-4</v>
      </c>
      <c r="I814" s="7">
        <v>0.33857618128370165</v>
      </c>
      <c r="J814" s="7">
        <v>7.991418162515404E-3</v>
      </c>
      <c r="K814" s="8">
        <v>2.0000000000000001E-4</v>
      </c>
      <c r="L814" s="8">
        <v>0.03</v>
      </c>
      <c r="M814" s="8">
        <v>-1.7000000000000001E-2</v>
      </c>
      <c r="N814" s="7">
        <v>2.98E-2</v>
      </c>
      <c r="O814" s="7">
        <v>6.8999999999999964E-3</v>
      </c>
      <c r="P814" s="7">
        <v>-1.0099999999999998E-2</v>
      </c>
      <c r="Q814" s="7">
        <v>7.5256882431085081E-4</v>
      </c>
      <c r="R814" s="7">
        <v>-1.3927999999999999E-2</v>
      </c>
      <c r="S814" s="7">
        <v>0</v>
      </c>
    </row>
    <row r="815" spans="1:19" x14ac:dyDescent="0.3">
      <c r="A815" s="2">
        <v>201410</v>
      </c>
      <c r="B815" s="6">
        <f t="shared" si="24"/>
        <v>2.3689182493468998E-2</v>
      </c>
      <c r="C815" s="4">
        <f t="shared" si="25"/>
        <v>2.3972E-2</v>
      </c>
      <c r="D815" s="5">
        <v>1.9231826711560839E-2</v>
      </c>
      <c r="E815" s="5">
        <v>1.9678033096180252E-2</v>
      </c>
      <c r="F815" s="7">
        <v>5.1903239926331529E-2</v>
      </c>
      <c r="G815" s="7">
        <v>0.37053229699836437</v>
      </c>
      <c r="H815" s="7">
        <v>2.9439983039257623E-3</v>
      </c>
      <c r="I815" s="7">
        <v>0.3318083645572415</v>
      </c>
      <c r="J815" s="7">
        <v>8.0323419778493936E-3</v>
      </c>
      <c r="K815" s="8">
        <v>2.0000000000000001E-4</v>
      </c>
      <c r="L815" s="8">
        <v>2.8199999999999999E-2</v>
      </c>
      <c r="M815" s="8">
        <v>0.03</v>
      </c>
      <c r="N815" s="7">
        <v>2.8000000000000001E-2</v>
      </c>
      <c r="O815" s="7">
        <v>7.7000000000000055E-3</v>
      </c>
      <c r="P815" s="7">
        <v>-7.4999999999999997E-3</v>
      </c>
      <c r="Q815" s="7">
        <v>-2.5122778125539202E-3</v>
      </c>
      <c r="R815" s="7">
        <v>2.3972E-2</v>
      </c>
      <c r="S815" s="7">
        <v>0</v>
      </c>
    </row>
    <row r="816" spans="1:19" x14ac:dyDescent="0.3">
      <c r="A816" s="2">
        <v>201411</v>
      </c>
      <c r="B816" s="6">
        <f t="shared" si="24"/>
        <v>2.7256153178868776E-2</v>
      </c>
      <c r="C816" s="4">
        <f t="shared" si="25"/>
        <v>2.7630999999999999E-2</v>
      </c>
      <c r="D816" s="5">
        <v>1.8924222026929158E-2</v>
      </c>
      <c r="E816" s="5">
        <v>1.9388501025245978E-2</v>
      </c>
      <c r="F816" s="7">
        <v>5.0071904402613068E-2</v>
      </c>
      <c r="G816" s="7">
        <v>0.37794092820527059</v>
      </c>
      <c r="H816" s="7">
        <v>1.5025395227272122E-4</v>
      </c>
      <c r="I816" s="7">
        <v>0.32366178602038109</v>
      </c>
      <c r="J816" s="7">
        <v>6.8915555184836464E-3</v>
      </c>
      <c r="K816" s="8">
        <v>2.0000000000000001E-4</v>
      </c>
      <c r="L816" s="8">
        <v>2.64E-2</v>
      </c>
      <c r="M816" s="8">
        <v>2.86E-2</v>
      </c>
      <c r="N816" s="7">
        <v>2.6200000000000001E-2</v>
      </c>
      <c r="O816" s="7">
        <v>8.6999999999999994E-3</v>
      </c>
      <c r="P816" s="7">
        <v>-1.1300000000000001E-2</v>
      </c>
      <c r="Q816" s="7">
        <v>-5.3994179410612464E-3</v>
      </c>
      <c r="R816" s="7">
        <v>2.7630999999999999E-2</v>
      </c>
      <c r="S816" s="7">
        <v>0</v>
      </c>
    </row>
    <row r="817" spans="1:19" x14ac:dyDescent="0.3">
      <c r="A817" s="2">
        <v>201412</v>
      </c>
      <c r="B817" s="6">
        <f t="shared" si="24"/>
        <v>-2.4760629152682924E-3</v>
      </c>
      <c r="C817" s="4">
        <f t="shared" si="25"/>
        <v>-2.4729999999999999E-3</v>
      </c>
      <c r="D817" s="5">
        <v>1.9157385542148693E-2</v>
      </c>
      <c r="E817" s="5">
        <v>1.9077144601718908E-2</v>
      </c>
      <c r="F817" s="7">
        <v>4.9691582884064306E-2</v>
      </c>
      <c r="G817" s="7">
        <v>0.38552576573873465</v>
      </c>
      <c r="H817" s="7">
        <v>1.9928394364508968E-3</v>
      </c>
      <c r="I817" s="7">
        <v>0.32375567172209951</v>
      </c>
      <c r="J817" s="7">
        <v>5.6250117336518477E-3</v>
      </c>
      <c r="K817" s="8">
        <v>2.9999999999999997E-4</v>
      </c>
      <c r="L817" s="8">
        <v>2.46E-2</v>
      </c>
      <c r="M817" s="8">
        <v>2.8999999999999998E-2</v>
      </c>
      <c r="N817" s="7">
        <v>2.4299999999999999E-2</v>
      </c>
      <c r="O817" s="7">
        <v>9.5000000000000015E-3</v>
      </c>
      <c r="P817" s="7">
        <v>-1.0699999999999998E-2</v>
      </c>
      <c r="Q817" s="7">
        <v>-5.6701009100109667E-3</v>
      </c>
      <c r="R817" s="7">
        <v>-2.4729999999999999E-3</v>
      </c>
      <c r="S817" s="7">
        <v>0</v>
      </c>
    </row>
    <row r="818" spans="1:19" x14ac:dyDescent="0.3">
      <c r="A818" s="2">
        <v>201501</v>
      </c>
      <c r="B818" s="6">
        <f t="shared" si="24"/>
        <v>-2.9871751204963392E-2</v>
      </c>
      <c r="C818" s="4">
        <f t="shared" si="25"/>
        <v>-2.9430000000000001E-2</v>
      </c>
      <c r="D818" s="5">
        <v>1.9998912715078636E-2</v>
      </c>
      <c r="E818" s="5">
        <v>1.9378129427104568E-2</v>
      </c>
      <c r="F818" s="7">
        <v>5.0772184576224358E-2</v>
      </c>
      <c r="G818" s="7">
        <v>0.3938950604942798</v>
      </c>
      <c r="H818" s="7">
        <v>2.2266292360955367E-3</v>
      </c>
      <c r="I818" s="7">
        <v>0.33616876250731864</v>
      </c>
      <c r="J818" s="7">
        <v>1.9069910007369413E-4</v>
      </c>
      <c r="K818" s="8">
        <v>2.9999999999999997E-4</v>
      </c>
      <c r="L818" s="8">
        <v>0.02</v>
      </c>
      <c r="M818" s="8">
        <v>7.0900000000000005E-2</v>
      </c>
      <c r="N818" s="7">
        <v>1.9699999999999999E-2</v>
      </c>
      <c r="O818" s="7">
        <v>9.900000000000006E-3</v>
      </c>
      <c r="P818" s="7">
        <v>-1.1000000000000003E-2</v>
      </c>
      <c r="Q818" s="7">
        <v>-4.7058923734732971E-3</v>
      </c>
      <c r="R818" s="7">
        <v>-2.9430000000000001E-2</v>
      </c>
      <c r="S818" s="7">
        <v>0</v>
      </c>
    </row>
    <row r="819" spans="1:19" x14ac:dyDescent="0.3">
      <c r="A819" s="2">
        <v>201502</v>
      </c>
      <c r="B819" s="6">
        <f t="shared" si="24"/>
        <v>5.5412000859270436E-2</v>
      </c>
      <c r="C819" s="4">
        <f t="shared" si="25"/>
        <v>5.6975999999999999E-2</v>
      </c>
      <c r="D819" s="5">
        <v>1.9174207774863984E-2</v>
      </c>
      <c r="E819" s="5">
        <v>2.0226728186341053E-2</v>
      </c>
      <c r="F819" s="7">
        <v>4.7645521501544316E-2</v>
      </c>
      <c r="G819" s="7">
        <v>0.40243462912337935</v>
      </c>
      <c r="H819" s="7">
        <v>8.1353969853155785E-4</v>
      </c>
      <c r="I819" s="7">
        <v>0.3182272910267086</v>
      </c>
      <c r="J819" s="7">
        <v>-3.7666943474595782E-3</v>
      </c>
      <c r="K819" s="8">
        <v>2.0000000000000001E-4</v>
      </c>
      <c r="L819" s="8">
        <v>2.3800000000000002E-2</v>
      </c>
      <c r="M819" s="8">
        <v>-5.2300000000000006E-2</v>
      </c>
      <c r="N819" s="7">
        <v>2.3600000000000003E-2</v>
      </c>
      <c r="O819" s="7">
        <v>9.0000000000000011E-3</v>
      </c>
      <c r="P819" s="7">
        <v>2.0300000000000006E-2</v>
      </c>
      <c r="Q819" s="7">
        <v>4.3430449237722435E-3</v>
      </c>
      <c r="R819" s="7">
        <v>5.6975999999999999E-2</v>
      </c>
      <c r="S819" s="7">
        <v>0</v>
      </c>
    </row>
    <row r="820" spans="1:19" x14ac:dyDescent="0.3">
      <c r="A820" s="2">
        <v>201503</v>
      </c>
      <c r="B820" s="6">
        <f t="shared" si="24"/>
        <v>-1.5106531236315189E-2</v>
      </c>
      <c r="C820" s="4">
        <f t="shared" si="25"/>
        <v>-1.4992999999999999E-2</v>
      </c>
      <c r="D820" s="5">
        <v>1.9733453887013561E-2</v>
      </c>
      <c r="E820" s="5">
        <v>1.9390168613417396E-2</v>
      </c>
      <c r="F820" s="7">
        <v>4.7995785624742639E-2</v>
      </c>
      <c r="G820" s="7">
        <v>0.41114972137971695</v>
      </c>
      <c r="H820" s="7">
        <v>1.7203749998785591E-3</v>
      </c>
      <c r="I820" s="7">
        <v>0.30745404508970464</v>
      </c>
      <c r="J820" s="7">
        <v>-6.8897072679604985E-3</v>
      </c>
      <c r="K820" s="8">
        <v>2.9999999999999997E-4</v>
      </c>
      <c r="L820" s="8">
        <v>2.3E-2</v>
      </c>
      <c r="M820" s="8">
        <v>1.37E-2</v>
      </c>
      <c r="N820" s="7">
        <v>2.2699999999999998E-2</v>
      </c>
      <c r="O820" s="7">
        <v>9.0000000000000011E-3</v>
      </c>
      <c r="P820" s="7">
        <v>-7.9000000000000008E-3</v>
      </c>
      <c r="Q820" s="7">
        <v>5.9517216110973603E-3</v>
      </c>
      <c r="R820" s="7">
        <v>-1.4992999999999999E-2</v>
      </c>
      <c r="S820" s="7">
        <v>0</v>
      </c>
    </row>
    <row r="821" spans="1:19" x14ac:dyDescent="0.3">
      <c r="A821" s="2">
        <v>201504</v>
      </c>
      <c r="B821" s="6">
        <f t="shared" si="24"/>
        <v>9.0598354699182662E-3</v>
      </c>
      <c r="C821" s="4">
        <f t="shared" si="25"/>
        <v>9.1009999999999997E-3</v>
      </c>
      <c r="D821" s="5">
        <v>1.9716235822783666E-2</v>
      </c>
      <c r="E821" s="5">
        <v>1.9884234313986233E-2</v>
      </c>
      <c r="F821" s="7">
        <v>4.6896602204912624E-2</v>
      </c>
      <c r="G821" s="7">
        <v>0.42041928190521027</v>
      </c>
      <c r="H821" s="7">
        <v>5.7434265269320779E-4</v>
      </c>
      <c r="I821" s="7">
        <v>0.30634420969792359</v>
      </c>
      <c r="J821" s="7">
        <v>-7.0749013765133255E-3</v>
      </c>
      <c r="K821" s="8">
        <v>2.0000000000000001E-4</v>
      </c>
      <c r="L821" s="8">
        <v>2.4899999999999999E-2</v>
      </c>
      <c r="M821" s="8">
        <v>-2.5000000000000001E-2</v>
      </c>
      <c r="N821" s="7">
        <v>2.47E-2</v>
      </c>
      <c r="O821" s="7">
        <v>9.6000000000000044E-3</v>
      </c>
      <c r="P821" s="7">
        <v>2.700000000000001E-3</v>
      </c>
      <c r="Q821" s="7">
        <v>2.0328732545877859E-3</v>
      </c>
      <c r="R821" s="7">
        <v>9.1009999999999997E-3</v>
      </c>
      <c r="S821" s="7">
        <v>0</v>
      </c>
    </row>
    <row r="822" spans="1:19" x14ac:dyDescent="0.3">
      <c r="A822" s="2">
        <v>201505</v>
      </c>
      <c r="B822" s="6">
        <f t="shared" si="24"/>
        <v>1.2444248157560648E-2</v>
      </c>
      <c r="C822" s="4">
        <f t="shared" si="25"/>
        <v>1.2522E-2</v>
      </c>
      <c r="D822" s="5">
        <v>1.9659487134559839E-2</v>
      </c>
      <c r="E822" s="5">
        <v>1.9865742331744998E-2</v>
      </c>
      <c r="F822" s="7">
        <v>4.5723227100371536E-2</v>
      </c>
      <c r="G822" s="7">
        <v>0.42996718257447952</v>
      </c>
      <c r="H822" s="7">
        <v>8.869954965169414E-4</v>
      </c>
      <c r="I822" s="7">
        <v>0.30344995302787015</v>
      </c>
      <c r="J822" s="7">
        <v>-8.0784075469653802E-3</v>
      </c>
      <c r="K822" s="8">
        <v>2.0000000000000001E-4</v>
      </c>
      <c r="L822" s="8">
        <v>2.6200000000000001E-2</v>
      </c>
      <c r="M822" s="8">
        <v>-1.5900000000000001E-2</v>
      </c>
      <c r="N822" s="7">
        <v>2.6000000000000002E-2</v>
      </c>
      <c r="O822" s="7">
        <v>9.099999999999997E-3</v>
      </c>
      <c r="P822" s="7">
        <v>-4.5000000000000005E-3</v>
      </c>
      <c r="Q822" s="7">
        <v>5.0972320254947245E-3</v>
      </c>
      <c r="R822" s="7">
        <v>1.2522E-2</v>
      </c>
      <c r="S822" s="7">
        <v>0</v>
      </c>
    </row>
    <row r="823" spans="1:19" x14ac:dyDescent="0.3">
      <c r="A823" s="2">
        <v>201506</v>
      </c>
      <c r="B823" s="6">
        <f t="shared" si="24"/>
        <v>-1.9532523777419632E-2</v>
      </c>
      <c r="C823" s="4">
        <f t="shared" si="25"/>
        <v>-1.9342999999999999E-2</v>
      </c>
      <c r="D823" s="5">
        <v>2.0232561349152432E-2</v>
      </c>
      <c r="E823" s="5">
        <v>1.9807441398758733E-2</v>
      </c>
      <c r="F823" s="7">
        <v>4.6003361467706679E-2</v>
      </c>
      <c r="G823" s="7">
        <v>0.43980615119517374</v>
      </c>
      <c r="H823" s="7">
        <v>1.0521574957602549E-3</v>
      </c>
      <c r="I823" s="7">
        <v>0.31018683266447256</v>
      </c>
      <c r="J823" s="7">
        <v>-8.7253565971815543E-3</v>
      </c>
      <c r="K823" s="8">
        <v>2.0000000000000001E-4</v>
      </c>
      <c r="L823" s="8">
        <v>2.8500000000000001E-2</v>
      </c>
      <c r="M823" s="8">
        <v>-2.98E-2</v>
      </c>
      <c r="N823" s="7">
        <v>2.8300000000000002E-2</v>
      </c>
      <c r="O823" s="7">
        <v>9.3999999999999917E-3</v>
      </c>
      <c r="P823" s="7">
        <v>-2.2000000000000006E-3</v>
      </c>
      <c r="Q823" s="7">
        <v>3.5028699985282241E-3</v>
      </c>
      <c r="R823" s="7">
        <v>-1.9342999999999999E-2</v>
      </c>
      <c r="S823" s="7">
        <v>0</v>
      </c>
    </row>
    <row r="824" spans="1:19" x14ac:dyDescent="0.3">
      <c r="A824" s="2">
        <v>201507</v>
      </c>
      <c r="B824" s="6">
        <f t="shared" si="24"/>
        <v>2.1073388164918019E-2</v>
      </c>
      <c r="C824" s="4">
        <f t="shared" si="25"/>
        <v>2.1297E-2</v>
      </c>
      <c r="D824" s="5">
        <v>1.9962607241870801E-2</v>
      </c>
      <c r="E824" s="5">
        <v>2.0356709626863798E-2</v>
      </c>
      <c r="F824" s="7">
        <v>4.4439372491571871E-2</v>
      </c>
      <c r="G824" s="7">
        <v>0.44920992630255524</v>
      </c>
      <c r="H824" s="7">
        <v>1.1597789523634674E-3</v>
      </c>
      <c r="I824" s="7">
        <v>0.30895326475167129</v>
      </c>
      <c r="J824" s="7">
        <v>-8.3576995456743075E-3</v>
      </c>
      <c r="K824" s="8">
        <v>2.9999999999999997E-4</v>
      </c>
      <c r="L824" s="8">
        <v>2.63E-2</v>
      </c>
      <c r="M824" s="8">
        <v>3.2899999999999999E-2</v>
      </c>
      <c r="N824" s="7">
        <v>2.5999999999999999E-2</v>
      </c>
      <c r="O824" s="7">
        <v>1.0500000000000002E-2</v>
      </c>
      <c r="P824" s="7">
        <v>-8.9999999999999976E-3</v>
      </c>
      <c r="Q824" s="7">
        <v>6.7047159295618997E-5</v>
      </c>
      <c r="R824" s="7">
        <v>2.1297E-2</v>
      </c>
      <c r="S824" s="7">
        <v>0</v>
      </c>
    </row>
    <row r="825" spans="1:19" x14ac:dyDescent="0.3">
      <c r="A825" s="2">
        <v>201508</v>
      </c>
      <c r="B825" s="6">
        <f t="shared" si="24"/>
        <v>-6.1953066308216488E-2</v>
      </c>
      <c r="C825" s="4">
        <f t="shared" si="25"/>
        <v>-6.0073000000000001E-2</v>
      </c>
      <c r="D825" s="5">
        <v>2.1425155810322311E-2</v>
      </c>
      <c r="E825" s="5">
        <v>2.008435203035254E-2</v>
      </c>
      <c r="F825" s="7">
        <v>4.6687758797639006E-2</v>
      </c>
      <c r="G825" s="7">
        <v>0.45890306928602825</v>
      </c>
      <c r="H825" s="7">
        <v>5.846948990457377E-3</v>
      </c>
      <c r="I825" s="7">
        <v>0.33067098740745271</v>
      </c>
      <c r="J825" s="7">
        <v>-1.0160890029270776E-2</v>
      </c>
      <c r="K825" s="8">
        <v>7.000000000000001E-4</v>
      </c>
      <c r="L825" s="8">
        <v>2.64E-2</v>
      </c>
      <c r="M825" s="8">
        <v>1.1999999999999999E-3</v>
      </c>
      <c r="N825" s="7">
        <v>2.5700000000000001E-2</v>
      </c>
      <c r="O825" s="7">
        <v>1.1500000000000003E-2</v>
      </c>
      <c r="P825" s="7">
        <v>-7.9000000000000008E-3</v>
      </c>
      <c r="Q825" s="7">
        <v>-1.4162762828194841E-3</v>
      </c>
      <c r="R825" s="7">
        <v>-6.0073000000000001E-2</v>
      </c>
      <c r="S825" s="7">
        <v>0</v>
      </c>
    </row>
    <row r="826" spans="1:19" x14ac:dyDescent="0.3">
      <c r="A826" s="2">
        <v>201509</v>
      </c>
      <c r="B826" s="6">
        <f t="shared" si="24"/>
        <v>-2.4853300499982151E-2</v>
      </c>
      <c r="C826" s="4">
        <f t="shared" si="25"/>
        <v>-2.4546999999999999E-2</v>
      </c>
      <c r="D826" s="5">
        <v>2.2140485235855042E-2</v>
      </c>
      <c r="E826" s="5">
        <v>2.1555028113813806E-2</v>
      </c>
      <c r="F826" s="7">
        <v>4.7218011505381512E-2</v>
      </c>
      <c r="G826" s="7">
        <v>0.4688991452622196</v>
      </c>
      <c r="H826" s="7">
        <v>4.0534913480552584E-3</v>
      </c>
      <c r="I826" s="7">
        <v>0.33561195477963979</v>
      </c>
      <c r="J826" s="7">
        <v>-1.3637638010012807E-2</v>
      </c>
      <c r="K826" s="8">
        <v>2.0000000000000001E-4</v>
      </c>
      <c r="L826" s="8">
        <v>2.53E-2</v>
      </c>
      <c r="M826" s="8">
        <v>1.7399999999999999E-2</v>
      </c>
      <c r="N826" s="7">
        <v>2.5100000000000001E-2</v>
      </c>
      <c r="O826" s="7">
        <v>1.2699999999999996E-2</v>
      </c>
      <c r="P826" s="7">
        <v>-4.0999999999999977E-3</v>
      </c>
      <c r="Q826" s="7">
        <v>-1.5567565753034085E-3</v>
      </c>
      <c r="R826" s="7">
        <v>-2.4546999999999999E-2</v>
      </c>
      <c r="S826" s="7">
        <v>0</v>
      </c>
    </row>
    <row r="827" spans="1:19" x14ac:dyDescent="0.3">
      <c r="A827" s="2">
        <v>201510</v>
      </c>
      <c r="B827" s="6">
        <f t="shared" si="24"/>
        <v>8.0149471204876907E-2</v>
      </c>
      <c r="C827" s="4">
        <f t="shared" si="25"/>
        <v>8.3448999999999995E-2</v>
      </c>
      <c r="D827" s="5">
        <v>2.0584646842009745E-2</v>
      </c>
      <c r="E827" s="5">
        <v>2.2292825014956365E-2</v>
      </c>
      <c r="F827" s="7">
        <v>4.2937888936489699E-2</v>
      </c>
      <c r="G827" s="7">
        <v>0.47940519088996003</v>
      </c>
      <c r="H827" s="7">
        <v>1.6189063414524904E-3</v>
      </c>
      <c r="I827" s="7">
        <v>0.30941362829874419</v>
      </c>
      <c r="J827" s="7">
        <v>-1.6832542353523775E-2</v>
      </c>
      <c r="K827" s="8">
        <v>2.0000000000000001E-4</v>
      </c>
      <c r="L827" s="8">
        <v>2.5899999999999999E-2</v>
      </c>
      <c r="M827" s="8">
        <v>-5.3E-3</v>
      </c>
      <c r="N827" s="7">
        <v>2.5700000000000001E-2</v>
      </c>
      <c r="O827" s="7">
        <v>1.3899999999999996E-2</v>
      </c>
      <c r="P827" s="7">
        <v>7.3000000000000001E-3</v>
      </c>
      <c r="Q827" s="7">
        <v>-4.4968375044651676E-4</v>
      </c>
      <c r="R827" s="7">
        <v>8.3448999999999995E-2</v>
      </c>
      <c r="S827" s="7">
        <v>0</v>
      </c>
    </row>
    <row r="828" spans="1:19" x14ac:dyDescent="0.3">
      <c r="A828" s="2">
        <v>201511</v>
      </c>
      <c r="B828" s="6">
        <f t="shared" si="24"/>
        <v>3.3673241949127514E-3</v>
      </c>
      <c r="C828" s="4">
        <f t="shared" si="25"/>
        <v>3.3730000000000001E-3</v>
      </c>
      <c r="D828" s="5">
        <v>2.0714855357045796E-2</v>
      </c>
      <c r="E828" s="5">
        <v>2.0725313650755913E-2</v>
      </c>
      <c r="F828" s="7">
        <v>4.2254493289814059E-2</v>
      </c>
      <c r="G828" s="7">
        <v>0.49024029740381131</v>
      </c>
      <c r="H828" s="7">
        <v>1.1187587767953339E-3</v>
      </c>
      <c r="I828" s="7">
        <v>0.30842915769371421</v>
      </c>
      <c r="J828" s="7">
        <v>-1.8438096581858781E-2</v>
      </c>
      <c r="K828" s="8">
        <v>1.1999999999999999E-3</v>
      </c>
      <c r="L828" s="8">
        <v>2.6499999999999999E-2</v>
      </c>
      <c r="M828" s="8">
        <v>-6.5000000000000006E-3</v>
      </c>
      <c r="N828" s="7">
        <v>2.53E-2</v>
      </c>
      <c r="O828" s="7">
        <v>1.4000000000000005E-2</v>
      </c>
      <c r="P828" s="7">
        <v>8.5000000000000006E-3</v>
      </c>
      <c r="Q828" s="7">
        <v>-2.1106803790814643E-3</v>
      </c>
      <c r="R828" s="7">
        <v>3.3730000000000001E-3</v>
      </c>
      <c r="S828" s="7">
        <v>0</v>
      </c>
    </row>
    <row r="829" spans="1:19" x14ac:dyDescent="0.3">
      <c r="A829" s="2">
        <v>201512</v>
      </c>
      <c r="B829" s="6">
        <f t="shared" si="24"/>
        <v>-1.5464425677603543E-2</v>
      </c>
      <c r="C829" s="4">
        <f t="shared" si="25"/>
        <v>-1.5347E-2</v>
      </c>
      <c r="D829" s="5">
        <v>2.1227574495022866E-2</v>
      </c>
      <c r="E829" s="5">
        <v>2.0855451183281106E-2</v>
      </c>
      <c r="F829" s="7">
        <v>4.2334903420726294E-2</v>
      </c>
      <c r="G829" s="7">
        <v>0.50142017058742794</v>
      </c>
      <c r="H829" s="7">
        <v>2.8384855623711427E-3</v>
      </c>
      <c r="I829" s="7">
        <v>0.31364881437793796</v>
      </c>
      <c r="J829" s="7">
        <v>-2.2251550295840687E-2</v>
      </c>
      <c r="K829" s="8">
        <v>2.3E-3</v>
      </c>
      <c r="L829" s="8">
        <v>2.6800000000000001E-2</v>
      </c>
      <c r="M829" s="8">
        <v>-2.2000000000000001E-3</v>
      </c>
      <c r="N829" s="7">
        <v>2.4500000000000001E-2</v>
      </c>
      <c r="O829" s="7">
        <v>1.4900000000000004E-2</v>
      </c>
      <c r="P829" s="7">
        <v>2.2000000000000001E-3</v>
      </c>
      <c r="Q829" s="7">
        <v>-3.4170964371187385E-3</v>
      </c>
      <c r="R829" s="7">
        <v>-1.5247E-2</v>
      </c>
      <c r="S829" s="7">
        <v>1E-4</v>
      </c>
    </row>
    <row r="830" spans="1:19" x14ac:dyDescent="0.3">
      <c r="A830" s="2">
        <v>201601</v>
      </c>
      <c r="B830" s="6">
        <f t="shared" si="24"/>
        <v>-5.0446369437071821E-2</v>
      </c>
      <c r="C830" s="4">
        <f t="shared" si="25"/>
        <v>-4.9200000000000001E-2</v>
      </c>
      <c r="D830" s="5">
        <v>2.2445971342919546E-2</v>
      </c>
      <c r="E830" s="5">
        <v>2.130716786965817E-2</v>
      </c>
      <c r="F830" s="7">
        <v>4.4582113552962523E-2</v>
      </c>
      <c r="G830" s="7">
        <v>0.50347481431660368</v>
      </c>
      <c r="H830" s="7">
        <v>4.3013140466865692E-3</v>
      </c>
      <c r="I830" s="7">
        <v>0.33191062958891798</v>
      </c>
      <c r="J830" s="7">
        <v>-2.0944057455527881E-2</v>
      </c>
      <c r="K830" s="8">
        <v>2.5999999999999999E-3</v>
      </c>
      <c r="L830" s="8">
        <v>2.3599999999999999E-2</v>
      </c>
      <c r="M830" s="8">
        <v>4.7600000000000003E-2</v>
      </c>
      <c r="N830" s="7">
        <v>2.0999999999999998E-2</v>
      </c>
      <c r="O830" s="7">
        <v>1.4499999999999999E-2</v>
      </c>
      <c r="P830" s="7">
        <v>-4.0900000000000006E-2</v>
      </c>
      <c r="Q830" s="7">
        <v>1.6531022090686687E-3</v>
      </c>
      <c r="R830" s="7">
        <v>-4.9099999999999998E-2</v>
      </c>
      <c r="S830" s="7">
        <v>1E-4</v>
      </c>
    </row>
    <row r="831" spans="1:19" x14ac:dyDescent="0.3">
      <c r="A831" s="2">
        <v>201602</v>
      </c>
      <c r="B831" s="6">
        <f t="shared" si="24"/>
        <v>-1.9434990490417863E-3</v>
      </c>
      <c r="C831" s="4">
        <f t="shared" si="25"/>
        <v>-1.9420000000000001E-3</v>
      </c>
      <c r="D831" s="5">
        <v>2.2623215412162268E-2</v>
      </c>
      <c r="E831" s="5">
        <v>2.2529818741930017E-2</v>
      </c>
      <c r="F831" s="7">
        <v>4.4751401230702349E-2</v>
      </c>
      <c r="G831" s="7">
        <v>0.50553088372663701</v>
      </c>
      <c r="H831" s="7">
        <v>2.6015444759454119E-3</v>
      </c>
      <c r="I831" s="7">
        <v>0.33090182544728003</v>
      </c>
      <c r="J831" s="7">
        <v>-2.4716051996660909E-2</v>
      </c>
      <c r="K831" s="8">
        <v>3.0999999999999999E-3</v>
      </c>
      <c r="L831" s="8">
        <v>2.1700000000000001E-2</v>
      </c>
      <c r="M831" s="8">
        <v>2.9399999999999999E-2</v>
      </c>
      <c r="N831" s="7">
        <v>1.8600000000000002E-2</v>
      </c>
      <c r="O831" s="7">
        <v>1.38E-2</v>
      </c>
      <c r="P831" s="7">
        <v>-6.2000000000000006E-3</v>
      </c>
      <c r="Q831" s="7">
        <v>8.2307653345492504E-4</v>
      </c>
      <c r="R831" s="7">
        <v>-1.7420000000000001E-3</v>
      </c>
      <c r="S831" s="7">
        <v>2.0000000000000001E-4</v>
      </c>
    </row>
    <row r="832" spans="1:19" x14ac:dyDescent="0.3">
      <c r="A832" s="2">
        <v>201603</v>
      </c>
      <c r="B832" s="6">
        <f t="shared" si="24"/>
        <v>6.4969591980430064E-2</v>
      </c>
      <c r="C832" s="4">
        <f t="shared" si="25"/>
        <v>6.7139999999999991E-2</v>
      </c>
      <c r="D832" s="5">
        <v>2.1301688365181228E-2</v>
      </c>
      <c r="E832" s="5">
        <v>2.2707410397984906E-2</v>
      </c>
      <c r="F832" s="7">
        <v>4.196646178643907E-2</v>
      </c>
      <c r="G832" s="7">
        <v>0.50758838030192477</v>
      </c>
      <c r="H832" s="7">
        <v>1.2741568780335088E-3</v>
      </c>
      <c r="I832" s="7">
        <v>0.32795479129594479</v>
      </c>
      <c r="J832" s="7">
        <v>-2.3709636559986553E-2</v>
      </c>
      <c r="K832" s="8">
        <v>2.8999999999999998E-3</v>
      </c>
      <c r="L832" s="8">
        <v>2.18E-2</v>
      </c>
      <c r="M832" s="8">
        <v>-2.9999999999999997E-4</v>
      </c>
      <c r="N832" s="7">
        <v>1.89E-2</v>
      </c>
      <c r="O832" s="7">
        <v>1.3100000000000001E-2</v>
      </c>
      <c r="P832" s="7">
        <v>4.2599999999999999E-2</v>
      </c>
      <c r="Q832" s="7">
        <v>4.3060001433927741E-3</v>
      </c>
      <c r="R832" s="7">
        <v>6.7339999999999997E-2</v>
      </c>
      <c r="S832" s="7">
        <v>2.0000000000000001E-4</v>
      </c>
    </row>
    <row r="833" spans="1:19" x14ac:dyDescent="0.3">
      <c r="A833" s="2">
        <v>201604</v>
      </c>
      <c r="B833" s="6">
        <f t="shared" si="24"/>
        <v>3.6400024820046886E-3</v>
      </c>
      <c r="C833" s="4">
        <f t="shared" si="25"/>
        <v>3.6470000000000001E-3</v>
      </c>
      <c r="D833" s="5">
        <v>2.1338587866874335E-2</v>
      </c>
      <c r="E833" s="5">
        <v>2.1396188607035634E-2</v>
      </c>
      <c r="F833" s="7">
        <v>4.1930954340773728E-2</v>
      </c>
      <c r="G833" s="7">
        <v>0.50889821618308972</v>
      </c>
      <c r="H833" s="7">
        <v>8.1776350422298476E-4</v>
      </c>
      <c r="I833" s="7">
        <v>0.32632088868684189</v>
      </c>
      <c r="J833" s="7">
        <v>-2.4210355162022155E-2</v>
      </c>
      <c r="K833" s="8">
        <v>2.3E-3</v>
      </c>
      <c r="L833" s="8">
        <v>2.23E-2</v>
      </c>
      <c r="M833" s="8">
        <v>-5.3E-3</v>
      </c>
      <c r="N833" s="7">
        <v>0.02</v>
      </c>
      <c r="O833" s="7">
        <v>1.1699999999999995E-2</v>
      </c>
      <c r="P833" s="7">
        <v>1.9900000000000001E-2</v>
      </c>
      <c r="Q833" s="7">
        <v>4.7410679791040078E-3</v>
      </c>
      <c r="R833" s="7">
        <v>3.7469999999999999E-3</v>
      </c>
      <c r="S833" s="7">
        <v>1E-4</v>
      </c>
    </row>
    <row r="834" spans="1:19" x14ac:dyDescent="0.3">
      <c r="A834" s="2">
        <v>201605</v>
      </c>
      <c r="B834" s="6">
        <f t="shared" si="24"/>
        <v>1.8218197734497246E-2</v>
      </c>
      <c r="C834" s="4">
        <f t="shared" si="25"/>
        <v>1.8387000000000001E-2</v>
      </c>
      <c r="D834" s="5">
        <v>2.1109340446654794E-2</v>
      </c>
      <c r="E834" s="5">
        <v>2.1432833704359056E-2</v>
      </c>
      <c r="F834" s="7">
        <v>4.1374377071460931E-2</v>
      </c>
      <c r="G834" s="7">
        <v>0.51020322094989357</v>
      </c>
      <c r="H834" s="7">
        <v>9.9556872281639209E-4</v>
      </c>
      <c r="I834" s="7">
        <v>0.32607211927678326</v>
      </c>
      <c r="J834" s="7">
        <v>-2.7048300285209034E-2</v>
      </c>
      <c r="K834" s="8">
        <v>2.7000000000000001E-3</v>
      </c>
      <c r="L834" s="8">
        <v>2.1899999999999999E-2</v>
      </c>
      <c r="M834" s="8">
        <v>8.2000000000000007E-3</v>
      </c>
      <c r="N834" s="7">
        <v>1.9199999999999998E-2</v>
      </c>
      <c r="O834" s="7">
        <v>1.0299999999999997E-2</v>
      </c>
      <c r="P834" s="7">
        <v>-6.6000000000000008E-3</v>
      </c>
      <c r="Q834" s="7">
        <v>4.0457909981150841E-3</v>
      </c>
      <c r="R834" s="7">
        <v>1.8487E-2</v>
      </c>
      <c r="S834" s="7">
        <v>1E-4</v>
      </c>
    </row>
    <row r="835" spans="1:19" x14ac:dyDescent="0.3">
      <c r="A835" s="2">
        <v>201606</v>
      </c>
      <c r="B835" s="6">
        <f t="shared" ref="B835:B898" si="26">LN(R835+1) - LN(S835+1)</f>
        <v>2.4714485524926205E-3</v>
      </c>
      <c r="C835" s="4">
        <f t="shared" ref="C835:C898" si="27">R835 - S835</f>
        <v>2.4749999999999998E-3</v>
      </c>
      <c r="D835" s="5">
        <v>2.1182869451878618E-2</v>
      </c>
      <c r="E835" s="5">
        <v>2.120216379874101E-2</v>
      </c>
      <c r="F835" s="7">
        <v>4.1412957510267474E-2</v>
      </c>
      <c r="G835" s="7">
        <v>0.51150342128129267</v>
      </c>
      <c r="H835" s="7">
        <v>2.8644086379987269E-3</v>
      </c>
      <c r="I835" s="7">
        <v>0.32347536167058649</v>
      </c>
      <c r="J835" s="7">
        <v>-2.8679323390465056E-2</v>
      </c>
      <c r="K835" s="8">
        <v>2.7000000000000001E-3</v>
      </c>
      <c r="L835" s="8">
        <v>1.7899999999999999E-2</v>
      </c>
      <c r="M835" s="8">
        <v>5.8999999999999997E-2</v>
      </c>
      <c r="N835" s="7">
        <v>1.5199999999999998E-2</v>
      </c>
      <c r="O835" s="7">
        <v>1.0299999999999997E-2</v>
      </c>
      <c r="P835" s="7">
        <v>-2.1299999999999999E-2</v>
      </c>
      <c r="Q835" s="7">
        <v>3.2843661672818936E-3</v>
      </c>
      <c r="R835" s="7">
        <v>2.6749999999999999E-3</v>
      </c>
      <c r="S835" s="7">
        <v>2.0000000000000001E-4</v>
      </c>
    </row>
    <row r="836" spans="1:19" x14ac:dyDescent="0.3">
      <c r="A836" s="2">
        <v>201607</v>
      </c>
      <c r="B836" s="6">
        <f t="shared" si="26"/>
        <v>3.5718170303833216E-2</v>
      </c>
      <c r="C836" s="4">
        <f t="shared" si="27"/>
        <v>3.6371000000000001E-2</v>
      </c>
      <c r="D836" s="5">
        <v>2.0541259671095977E-2</v>
      </c>
      <c r="E836" s="5">
        <v>2.1272729968218083E-2</v>
      </c>
      <c r="F836" s="7">
        <v>4.0321739663844926E-2</v>
      </c>
      <c r="G836" s="7">
        <v>0.50943386476736252</v>
      </c>
      <c r="H836" s="7">
        <v>4.7766354101362899E-4</v>
      </c>
      <c r="I836" s="7">
        <v>0.31466115892588198</v>
      </c>
      <c r="J836" s="7">
        <v>-3.2018958833159007E-2</v>
      </c>
      <c r="K836" s="8">
        <v>3.0000000000000001E-3</v>
      </c>
      <c r="L836" s="8">
        <v>1.7500000000000002E-2</v>
      </c>
      <c r="M836" s="8">
        <v>8.0999999999999996E-3</v>
      </c>
      <c r="N836" s="7">
        <v>1.4500000000000002E-2</v>
      </c>
      <c r="O836" s="7">
        <v>9.3999999999999986E-3</v>
      </c>
      <c r="P836" s="7">
        <v>1.6400000000000001E-2</v>
      </c>
      <c r="Q836" s="7">
        <v>-1.618136404749948E-3</v>
      </c>
      <c r="R836" s="7">
        <v>3.6570999999999999E-2</v>
      </c>
      <c r="S836" s="7">
        <v>2.0000000000000001E-4</v>
      </c>
    </row>
    <row r="837" spans="1:19" x14ac:dyDescent="0.3">
      <c r="A837" s="2">
        <v>201608</v>
      </c>
      <c r="B837" s="6">
        <f t="shared" si="26"/>
        <v>1.0462431385952504E-3</v>
      </c>
      <c r="C837" s="4">
        <f t="shared" si="27"/>
        <v>1.047E-3</v>
      </c>
      <c r="D837" s="5">
        <v>2.0653210191122998E-2</v>
      </c>
      <c r="E837" s="5">
        <v>2.0628030301995982E-2</v>
      </c>
      <c r="F837" s="7">
        <v>4.0704146418234728E-2</v>
      </c>
      <c r="G837" s="7">
        <v>0.50739818933706293</v>
      </c>
      <c r="H837" s="7">
        <v>2.7916315658814531E-4</v>
      </c>
      <c r="I837" s="7">
        <v>0.31519742534052719</v>
      </c>
      <c r="J837" s="7">
        <v>-3.0785616262022475E-2</v>
      </c>
      <c r="K837" s="8">
        <v>3.0000000000000001E-3</v>
      </c>
      <c r="L837" s="8">
        <v>1.8599999999999998E-2</v>
      </c>
      <c r="M837" s="8">
        <v>-1.4E-2</v>
      </c>
      <c r="N837" s="7">
        <v>1.5599999999999999E-2</v>
      </c>
      <c r="O837" s="7">
        <v>9.1999999999999998E-3</v>
      </c>
      <c r="P837" s="7">
        <v>1.5600000000000001E-2</v>
      </c>
      <c r="Q837" s="7">
        <v>9.1843010788439372E-4</v>
      </c>
      <c r="R837" s="7">
        <v>1.2470000000000001E-3</v>
      </c>
      <c r="S837" s="7">
        <v>2.0000000000000001E-4</v>
      </c>
    </row>
    <row r="838" spans="1:19" x14ac:dyDescent="0.3">
      <c r="A838" s="2">
        <v>201609</v>
      </c>
      <c r="B838" s="6">
        <f t="shared" si="26"/>
        <v>2.4592056889599206E-4</v>
      </c>
      <c r="C838" s="4">
        <f t="shared" si="27"/>
        <v>2.4600000000000002E-4</v>
      </c>
      <c r="D838" s="5">
        <v>2.0765721661851481E-2</v>
      </c>
      <c r="E838" s="5">
        <v>2.0740086739787979E-2</v>
      </c>
      <c r="F838" s="7">
        <v>4.1088056376742753E-2</v>
      </c>
      <c r="G838" s="7">
        <v>0.50539556973557875</v>
      </c>
      <c r="H838" s="7">
        <v>1.6731126764302881E-3</v>
      </c>
      <c r="I838" s="7">
        <v>0.31679388687551713</v>
      </c>
      <c r="J838" s="7">
        <v>-3.2607113216422866E-2</v>
      </c>
      <c r="K838" s="8">
        <v>2.8999999999999998E-3</v>
      </c>
      <c r="L838" s="8">
        <v>1.9599999999999999E-2</v>
      </c>
      <c r="M838" s="8">
        <v>-1.24E-2</v>
      </c>
      <c r="N838" s="7">
        <v>1.67E-2</v>
      </c>
      <c r="O838" s="7">
        <v>9.0000000000000011E-3</v>
      </c>
      <c r="P838" s="7">
        <v>4.9999999999999871E-4</v>
      </c>
      <c r="Q838" s="7">
        <v>2.4039958646289161E-3</v>
      </c>
      <c r="R838" s="7">
        <v>4.46E-4</v>
      </c>
      <c r="S838" s="7">
        <v>2.0000000000000001E-4</v>
      </c>
    </row>
    <row r="839" spans="1:19" x14ac:dyDescent="0.3">
      <c r="A839" s="2">
        <v>201610</v>
      </c>
      <c r="B839" s="6">
        <f t="shared" si="26"/>
        <v>-1.8306925779706659E-2</v>
      </c>
      <c r="C839" s="4">
        <f t="shared" si="27"/>
        <v>-1.8144E-2</v>
      </c>
      <c r="D839" s="5">
        <v>2.1282911381414495E-2</v>
      </c>
      <c r="E839" s="5">
        <v>2.0869477525213388E-2</v>
      </c>
      <c r="F839" s="7">
        <v>4.2758036827128844E-2</v>
      </c>
      <c r="G839" s="7">
        <v>0.4977523048464903</v>
      </c>
      <c r="H839" s="7">
        <v>3.6405198147205185E-4</v>
      </c>
      <c r="I839" s="7">
        <v>0.31968778145363191</v>
      </c>
      <c r="J839" s="7">
        <v>-2.9037982896879561E-2</v>
      </c>
      <c r="K839" s="8">
        <v>3.3E-3</v>
      </c>
      <c r="L839" s="8">
        <v>2.1999999999999999E-2</v>
      </c>
      <c r="M839" s="8">
        <v>-3.1399999999999997E-2</v>
      </c>
      <c r="N839" s="7">
        <v>1.8699999999999998E-2</v>
      </c>
      <c r="O839" s="7">
        <v>8.6999999999999994E-3</v>
      </c>
      <c r="P839" s="7">
        <v>5.0999999999999969E-3</v>
      </c>
      <c r="Q839" s="7">
        <v>1.2467485130143174E-3</v>
      </c>
      <c r="R839" s="7">
        <v>-1.7944000000000002E-2</v>
      </c>
      <c r="S839" s="7">
        <v>2.0000000000000001E-4</v>
      </c>
    </row>
    <row r="840" spans="1:19" x14ac:dyDescent="0.3">
      <c r="A840" s="2">
        <v>201611</v>
      </c>
      <c r="B840" s="6">
        <f t="shared" si="26"/>
        <v>3.5085665188329625E-2</v>
      </c>
      <c r="C840" s="4">
        <f t="shared" si="27"/>
        <v>3.5711999999999994E-2</v>
      </c>
      <c r="D840" s="5">
        <v>2.0681929206910168E-2</v>
      </c>
      <c r="E840" s="5">
        <v>2.138872269569228E-2</v>
      </c>
      <c r="F840" s="7">
        <v>4.2172811657214586E-2</v>
      </c>
      <c r="G840" s="7">
        <v>0.49040906674696583</v>
      </c>
      <c r="H840" s="7">
        <v>9.4637228033618841E-4</v>
      </c>
      <c r="I840" s="7">
        <v>0.30328578644793491</v>
      </c>
      <c r="J840" s="7">
        <v>-2.7456294010046726E-2</v>
      </c>
      <c r="K840" s="8">
        <v>4.5000000000000005E-3</v>
      </c>
      <c r="L840" s="8">
        <v>2.6700000000000002E-2</v>
      </c>
      <c r="M840" s="8">
        <v>-5.9900000000000002E-2</v>
      </c>
      <c r="N840" s="7">
        <v>2.2200000000000001E-2</v>
      </c>
      <c r="O840" s="7">
        <v>8.5000000000000075E-3</v>
      </c>
      <c r="P840" s="7">
        <v>8.9000000000000051E-3</v>
      </c>
      <c r="Q840" s="7">
        <v>-1.5554608673349346E-3</v>
      </c>
      <c r="R840" s="7">
        <v>3.5811999999999997E-2</v>
      </c>
      <c r="S840" s="7">
        <v>1E-4</v>
      </c>
    </row>
    <row r="841" spans="1:19" x14ac:dyDescent="0.3">
      <c r="A841" s="2">
        <v>201612</v>
      </c>
      <c r="B841" s="6">
        <f t="shared" si="26"/>
        <v>1.8721975465844289E-2</v>
      </c>
      <c r="C841" s="4">
        <f t="shared" si="27"/>
        <v>1.8903999999999997E-2</v>
      </c>
      <c r="D841" s="5">
        <v>2.0412717126935882E-2</v>
      </c>
      <c r="E841" s="5">
        <v>2.0784243970737745E-2</v>
      </c>
      <c r="F841" s="7">
        <v>4.2231880044487524E-2</v>
      </c>
      <c r="G841" s="7">
        <v>0.48334852972287534</v>
      </c>
      <c r="H841" s="7">
        <v>5.2402187764291673E-4</v>
      </c>
      <c r="I841" s="7">
        <v>0.29347909687996521</v>
      </c>
      <c r="J841" s="7">
        <v>-2.5107883572043785E-2</v>
      </c>
      <c r="K841" s="8">
        <v>5.1000000000000004E-3</v>
      </c>
      <c r="L841" s="8">
        <v>2.7199999999999998E-2</v>
      </c>
      <c r="M841" s="8">
        <v>-5.7000000000000002E-3</v>
      </c>
      <c r="N841" s="7">
        <v>2.2099999999999998E-2</v>
      </c>
      <c r="O841" s="7">
        <v>7.7000000000000055E-3</v>
      </c>
      <c r="P841" s="7">
        <v>1.1599999999999999E-2</v>
      </c>
      <c r="Q841" s="7">
        <v>3.2732139231739232E-4</v>
      </c>
      <c r="R841" s="7">
        <v>1.9203999999999999E-2</v>
      </c>
      <c r="S841" s="7">
        <v>2.9999999999999997E-4</v>
      </c>
    </row>
    <row r="842" spans="1:19" x14ac:dyDescent="0.3">
      <c r="A842" s="2">
        <v>201701</v>
      </c>
      <c r="B842" s="6">
        <f t="shared" si="26"/>
        <v>1.879860327214063E-2</v>
      </c>
      <c r="C842" s="4">
        <f t="shared" si="27"/>
        <v>1.8983999999999997E-2</v>
      </c>
      <c r="D842" s="5">
        <v>2.0153793144300533E-2</v>
      </c>
      <c r="E842" s="5">
        <v>2.0514231514114942E-2</v>
      </c>
      <c r="F842" s="7">
        <v>4.2329456432699954E-2</v>
      </c>
      <c r="G842" s="7">
        <v>0.47611745679615003</v>
      </c>
      <c r="H842" s="7">
        <v>3.3557127037695081E-4</v>
      </c>
      <c r="I842" s="7">
        <v>0.29197964998894116</v>
      </c>
      <c r="J842" s="7">
        <v>-2.2661645912839895E-2</v>
      </c>
      <c r="K842" s="8">
        <v>5.1000000000000004E-3</v>
      </c>
      <c r="L842" s="8">
        <v>2.7799999999999998E-2</v>
      </c>
      <c r="M842" s="8">
        <v>4.3E-3</v>
      </c>
      <c r="N842" s="7">
        <v>2.2699999999999998E-2</v>
      </c>
      <c r="O842" s="7">
        <v>7.4000000000000038E-3</v>
      </c>
      <c r="P842" s="7">
        <v>-6.3999999999999994E-3</v>
      </c>
      <c r="Q842" s="7">
        <v>5.8277278902547636E-3</v>
      </c>
      <c r="R842" s="7">
        <v>1.9383999999999998E-2</v>
      </c>
      <c r="S842" s="7">
        <v>4.0000000000000002E-4</v>
      </c>
    </row>
    <row r="843" spans="1:19" x14ac:dyDescent="0.3">
      <c r="A843" s="2">
        <v>201702</v>
      </c>
      <c r="B843" s="6">
        <f t="shared" si="26"/>
        <v>3.8300465477303855E-2</v>
      </c>
      <c r="C843" s="4">
        <f t="shared" si="27"/>
        <v>3.9059000000000003E-2</v>
      </c>
      <c r="D843" s="5">
        <v>1.9527149855984451E-2</v>
      </c>
      <c r="E843" s="5">
        <v>2.0253523907257438E-2</v>
      </c>
      <c r="F843" s="7">
        <v>4.1620835287986345E-2</v>
      </c>
      <c r="G843" s="7">
        <v>0.46916765895904233</v>
      </c>
      <c r="H843" s="7">
        <v>2.2391289844370566E-4</v>
      </c>
      <c r="I843" s="7">
        <v>0.27867783260184326</v>
      </c>
      <c r="J843" s="7">
        <v>-1.8712612640183115E-2</v>
      </c>
      <c r="K843" s="8">
        <v>5.1999999999999998E-3</v>
      </c>
      <c r="L843" s="8">
        <v>2.7E-2</v>
      </c>
      <c r="M843" s="8">
        <v>1.37E-2</v>
      </c>
      <c r="N843" s="7">
        <v>2.18E-2</v>
      </c>
      <c r="O843" s="7">
        <v>6.8999999999999964E-3</v>
      </c>
      <c r="P843" s="7">
        <v>7.4999999999999997E-3</v>
      </c>
      <c r="Q843" s="7">
        <v>3.1461173864164582E-3</v>
      </c>
      <c r="R843" s="7">
        <v>3.9459000000000001E-2</v>
      </c>
      <c r="S843" s="7">
        <v>4.0000000000000002E-4</v>
      </c>
    </row>
    <row r="844" spans="1:19" x14ac:dyDescent="0.3">
      <c r="A844" s="2">
        <v>201703</v>
      </c>
      <c r="B844" s="6">
        <f t="shared" si="26"/>
        <v>1.363660415168208E-3</v>
      </c>
      <c r="C844" s="4">
        <f t="shared" si="27"/>
        <v>1.3650000000000001E-3</v>
      </c>
      <c r="D844" s="5">
        <v>1.963094417490838E-2</v>
      </c>
      <c r="E844" s="5">
        <v>1.962330386663606E-2</v>
      </c>
      <c r="F844" s="7">
        <v>4.2446841450090741E-2</v>
      </c>
      <c r="G844" s="7">
        <v>0.462483037707071</v>
      </c>
      <c r="H844" s="7">
        <v>5.7530395423131657E-4</v>
      </c>
      <c r="I844" s="7">
        <v>0.28159888933263938</v>
      </c>
      <c r="J844" s="7">
        <v>-1.6198860368007217E-2</v>
      </c>
      <c r="K844" s="8">
        <v>7.4000000000000003E-3</v>
      </c>
      <c r="L844" s="8">
        <v>2.7400000000000001E-2</v>
      </c>
      <c r="M844" s="8">
        <v>-4.0000000000000001E-3</v>
      </c>
      <c r="N844" s="7">
        <v>0.02</v>
      </c>
      <c r="O844" s="7">
        <v>6.6999999999999976E-3</v>
      </c>
      <c r="P844" s="7">
        <v>-2.1999999999999997E-3</v>
      </c>
      <c r="Q844" s="7">
        <v>8.1279787194721287E-4</v>
      </c>
      <c r="R844" s="7">
        <v>1.665E-3</v>
      </c>
      <c r="S844" s="7">
        <v>2.9999999999999997E-4</v>
      </c>
    </row>
    <row r="845" spans="1:19" x14ac:dyDescent="0.3">
      <c r="A845" s="2">
        <v>201704</v>
      </c>
      <c r="B845" s="6">
        <f t="shared" si="26"/>
        <v>1.0035433193731794E-2</v>
      </c>
      <c r="C845" s="4">
        <f t="shared" si="27"/>
        <v>1.0090999999999999E-2</v>
      </c>
      <c r="D845" s="5">
        <v>1.9571046892020515E-2</v>
      </c>
      <c r="E845" s="5">
        <v>1.9748971360844358E-2</v>
      </c>
      <c r="F845" s="7">
        <v>4.2585913690144743E-2</v>
      </c>
      <c r="G845" s="7">
        <v>0.45956620854537766</v>
      </c>
      <c r="H845" s="7">
        <v>3.9054700234960357E-4</v>
      </c>
      <c r="I845" s="7">
        <v>0.27787002632799229</v>
      </c>
      <c r="J845" s="7">
        <v>-1.5574559109407866E-2</v>
      </c>
      <c r="K845" s="8">
        <v>8.0000000000000002E-3</v>
      </c>
      <c r="L845" s="8">
        <v>2.6499999999999999E-2</v>
      </c>
      <c r="M845" s="8">
        <v>1.4499999999999999E-2</v>
      </c>
      <c r="N845" s="7">
        <v>1.8499999999999999E-2</v>
      </c>
      <c r="O845" s="7">
        <v>7.0000000000000062E-3</v>
      </c>
      <c r="P845" s="7">
        <v>3.1000000000000021E-3</v>
      </c>
      <c r="Q845" s="7">
        <v>2.965533365326678E-3</v>
      </c>
      <c r="R845" s="7">
        <v>1.0591E-2</v>
      </c>
      <c r="S845" s="7">
        <v>5.0000000000000001E-4</v>
      </c>
    </row>
    <row r="846" spans="1:19" x14ac:dyDescent="0.3">
      <c r="A846" s="2">
        <v>201705</v>
      </c>
      <c r="B846" s="6">
        <f t="shared" si="26"/>
        <v>1.3847315674918348E-2</v>
      </c>
      <c r="C846" s="4">
        <f t="shared" si="27"/>
        <v>1.3952000000000001E-2</v>
      </c>
      <c r="D846" s="5">
        <v>1.946270556291289E-2</v>
      </c>
      <c r="E846" s="5">
        <v>1.9688010735264827E-2</v>
      </c>
      <c r="F846" s="7">
        <v>4.2614090960517548E-2</v>
      </c>
      <c r="G846" s="7">
        <v>0.45671995164569662</v>
      </c>
      <c r="H846" s="7">
        <v>5.0309841707924289E-4</v>
      </c>
      <c r="I846" s="7">
        <v>0.27696876723184077</v>
      </c>
      <c r="J846" s="7">
        <v>-1.0186137678939732E-2</v>
      </c>
      <c r="K846" s="8">
        <v>8.8999999999999999E-3</v>
      </c>
      <c r="L846" s="8">
        <v>2.5600000000000001E-2</v>
      </c>
      <c r="M846" s="8">
        <v>1.5800000000000002E-2</v>
      </c>
      <c r="N846" s="7">
        <v>1.67E-2</v>
      </c>
      <c r="O846" s="7">
        <v>6.9999999999999993E-3</v>
      </c>
      <c r="P846" s="7">
        <v>6.799999999999997E-3</v>
      </c>
      <c r="Q846" s="7">
        <v>8.5472182689638743E-4</v>
      </c>
      <c r="R846" s="7">
        <v>1.4552000000000001E-2</v>
      </c>
      <c r="S846" s="7">
        <v>5.9999999999999995E-4</v>
      </c>
    </row>
    <row r="847" spans="1:19" x14ac:dyDescent="0.3">
      <c r="A847" s="2">
        <v>201706</v>
      </c>
      <c r="B847" s="6">
        <f t="shared" si="26"/>
        <v>5.1814362148907252E-3</v>
      </c>
      <c r="C847" s="4">
        <f t="shared" si="27"/>
        <v>5.1980000000000004E-3</v>
      </c>
      <c r="D847" s="5">
        <v>1.948453672068572E-2</v>
      </c>
      <c r="E847" s="5">
        <v>1.9578330898208613E-2</v>
      </c>
      <c r="F847" s="7">
        <v>4.292299023987816E-2</v>
      </c>
      <c r="G847" s="7">
        <v>0.45394173639336421</v>
      </c>
      <c r="H847" s="7">
        <v>4.4755991669249371E-4</v>
      </c>
      <c r="I847" s="7">
        <v>0.27254522752308352</v>
      </c>
      <c r="J847" s="7">
        <v>-9.7849906484052881E-3</v>
      </c>
      <c r="K847" s="8">
        <v>9.7999999999999997E-3</v>
      </c>
      <c r="L847" s="8">
        <v>2.58E-2</v>
      </c>
      <c r="M847" s="8">
        <v>-1E-3</v>
      </c>
      <c r="N847" s="7">
        <v>1.6E-2</v>
      </c>
      <c r="O847" s="7">
        <v>6.9000000000000034E-3</v>
      </c>
      <c r="P847" s="7">
        <v>1.1800000000000001E-2</v>
      </c>
      <c r="Q847" s="7">
        <v>9.0711101486107282E-4</v>
      </c>
      <c r="R847" s="7">
        <v>5.7980000000000002E-3</v>
      </c>
      <c r="S847" s="7">
        <v>5.9999999999999995E-4</v>
      </c>
    </row>
    <row r="848" spans="1:19" x14ac:dyDescent="0.3">
      <c r="A848" s="2">
        <v>201707</v>
      </c>
      <c r="B848" s="6">
        <f t="shared" si="26"/>
        <v>1.9784992426163068E-2</v>
      </c>
      <c r="C848" s="4">
        <f t="shared" si="27"/>
        <v>1.9996E-2</v>
      </c>
      <c r="D848" s="5">
        <v>1.924343048598048E-2</v>
      </c>
      <c r="E848" s="5">
        <v>1.9615768276368128E-2</v>
      </c>
      <c r="F848" s="7">
        <v>4.2521150433738261E-2</v>
      </c>
      <c r="G848" s="7">
        <v>0.45256137921216372</v>
      </c>
      <c r="H848" s="7">
        <v>2.588436628937531E-4</v>
      </c>
      <c r="I848" s="7">
        <v>0.26580367876679495</v>
      </c>
      <c r="J848" s="7">
        <v>-1.3164534647438698E-2</v>
      </c>
      <c r="K848" s="8">
        <v>1.0700000000000001E-2</v>
      </c>
      <c r="L848" s="8">
        <v>2.6200000000000001E-2</v>
      </c>
      <c r="M848" s="8">
        <v>-2.7000000000000001E-3</v>
      </c>
      <c r="N848" s="7">
        <v>1.55E-2</v>
      </c>
      <c r="O848" s="7">
        <v>6.8999999999999895E-3</v>
      </c>
      <c r="P848" s="7">
        <v>8.6999999999999994E-3</v>
      </c>
      <c r="Q848" s="7">
        <v>-6.8992263885203631E-4</v>
      </c>
      <c r="R848" s="7">
        <v>2.0695999999999999E-2</v>
      </c>
      <c r="S848" s="7">
        <v>7.000000000000001E-4</v>
      </c>
    </row>
    <row r="849" spans="1:19" x14ac:dyDescent="0.3">
      <c r="A849" s="2">
        <v>201708</v>
      </c>
      <c r="B849" s="6">
        <f t="shared" si="26"/>
        <v>1.3359041653519714E-3</v>
      </c>
      <c r="C849" s="4">
        <f t="shared" si="27"/>
        <v>1.338E-3</v>
      </c>
      <c r="D849" s="5">
        <v>1.9361591253894989E-2</v>
      </c>
      <c r="E849" s="5">
        <v>1.937217106263095E-2</v>
      </c>
      <c r="F849" s="7">
        <v>4.2910607976549907E-2</v>
      </c>
      <c r="G849" s="7">
        <v>0.45120757236709041</v>
      </c>
      <c r="H849" s="7">
        <v>7.5337576313804714E-4</v>
      </c>
      <c r="I849" s="7">
        <v>0.26511361364580183</v>
      </c>
      <c r="J849" s="7">
        <v>-1.2213806227681203E-2</v>
      </c>
      <c r="K849" s="8">
        <v>1.01E-2</v>
      </c>
      <c r="L849" s="8">
        <v>2.4199999999999999E-2</v>
      </c>
      <c r="M849" s="8">
        <v>2.8900000000000002E-2</v>
      </c>
      <c r="N849" s="7">
        <v>1.41E-2</v>
      </c>
      <c r="O849" s="7">
        <v>6.8000000000000005E-3</v>
      </c>
      <c r="P849" s="7">
        <v>-1.3600000000000001E-2</v>
      </c>
      <c r="Q849" s="7">
        <v>2.9944522971085963E-3</v>
      </c>
      <c r="R849" s="7">
        <v>2.238E-3</v>
      </c>
      <c r="S849" s="7">
        <v>8.9999999999999998E-4</v>
      </c>
    </row>
    <row r="850" spans="1:19" x14ac:dyDescent="0.3">
      <c r="A850" s="2">
        <v>201709</v>
      </c>
      <c r="B850" s="6">
        <f t="shared" si="26"/>
        <v>1.8952050459765044E-2</v>
      </c>
      <c r="C850" s="4">
        <f t="shared" si="27"/>
        <v>1.9149999999999997E-2</v>
      </c>
      <c r="D850" s="5">
        <v>1.9121166062848013E-2</v>
      </c>
      <c r="E850" s="5">
        <v>1.9490261520889757E-2</v>
      </c>
      <c r="F850" s="7">
        <v>4.2502856063521853E-2</v>
      </c>
      <c r="G850" s="7">
        <v>0.44987955713542715</v>
      </c>
      <c r="H850" s="7">
        <v>2.5724711955490341E-4</v>
      </c>
      <c r="I850" s="7">
        <v>0.25970616679130332</v>
      </c>
      <c r="J850" s="7">
        <v>-1.1086143571425389E-2</v>
      </c>
      <c r="K850" s="8">
        <v>1.03E-2</v>
      </c>
      <c r="L850" s="8">
        <v>2.5899999999999999E-2</v>
      </c>
      <c r="M850" s="8">
        <v>-2.0499999999999997E-2</v>
      </c>
      <c r="N850" s="7">
        <v>1.5599999999999999E-2</v>
      </c>
      <c r="O850" s="7">
        <v>6.6999999999999976E-3</v>
      </c>
      <c r="P850" s="7">
        <v>1.6799999999999995E-2</v>
      </c>
      <c r="Q850" s="7">
        <v>5.2949058932301174E-3</v>
      </c>
      <c r="R850" s="7">
        <v>2.0049999999999998E-2</v>
      </c>
      <c r="S850" s="7">
        <v>8.9999999999999998E-4</v>
      </c>
    </row>
    <row r="851" spans="1:19" x14ac:dyDescent="0.3">
      <c r="A851" s="2">
        <v>201710</v>
      </c>
      <c r="B851" s="6">
        <f t="shared" si="26"/>
        <v>2.2945829316783382E-2</v>
      </c>
      <c r="C851" s="4">
        <f t="shared" si="27"/>
        <v>2.3231999999999999E-2</v>
      </c>
      <c r="D851" s="5">
        <v>1.8804343992140662E-2</v>
      </c>
      <c r="E851" s="5">
        <v>1.9221577321436725E-2</v>
      </c>
      <c r="F851" s="7">
        <v>4.1942690413358817E-2</v>
      </c>
      <c r="G851" s="7">
        <v>0.44833423432826436</v>
      </c>
      <c r="H851" s="7">
        <v>2.1815288374614196E-4</v>
      </c>
      <c r="I851" s="7">
        <v>0.24890619858272187</v>
      </c>
      <c r="J851" s="7">
        <v>-1.2379020080958382E-2</v>
      </c>
      <c r="K851" s="8">
        <v>1.0700000000000001E-2</v>
      </c>
      <c r="L851" s="8">
        <v>2.6100000000000002E-2</v>
      </c>
      <c r="M851" s="8">
        <v>-1.2999999999999999E-3</v>
      </c>
      <c r="N851" s="7">
        <v>1.54E-2</v>
      </c>
      <c r="O851" s="7">
        <v>7.1999999999999981E-3</v>
      </c>
      <c r="P851" s="7">
        <v>8.8999999999999999E-3</v>
      </c>
      <c r="Q851" s="7">
        <v>-6.3204210372769243E-4</v>
      </c>
      <c r="R851" s="7">
        <v>2.4132000000000001E-2</v>
      </c>
      <c r="S851" s="7">
        <v>8.9999999999999998E-4</v>
      </c>
    </row>
    <row r="852" spans="1:19" x14ac:dyDescent="0.3">
      <c r="A852" s="2">
        <v>201711</v>
      </c>
      <c r="B852" s="6">
        <f t="shared" si="26"/>
        <v>3.0106757291907264E-2</v>
      </c>
      <c r="C852" s="4">
        <f t="shared" si="27"/>
        <v>3.0589000000000002E-2</v>
      </c>
      <c r="D852" s="5">
        <v>1.8832517896335589E-2</v>
      </c>
      <c r="E852" s="5">
        <v>1.8902575672902891E-2</v>
      </c>
      <c r="F852" s="7">
        <v>4.2148319802237093E-2</v>
      </c>
      <c r="G852" s="7">
        <v>0.44681538872009846</v>
      </c>
      <c r="H852" s="7">
        <v>3.5533691007678611E-4</v>
      </c>
      <c r="I852" s="7">
        <v>0.23972710074357431</v>
      </c>
      <c r="J852" s="7">
        <v>-1.2193436298774622E-2</v>
      </c>
      <c r="K852" s="8">
        <v>1.23E-2</v>
      </c>
      <c r="L852" s="8">
        <v>2.5999999999999999E-2</v>
      </c>
      <c r="M852" s="8">
        <v>3.5999999999999999E-3</v>
      </c>
      <c r="N852" s="7">
        <v>1.3699999999999999E-2</v>
      </c>
      <c r="O852" s="7">
        <v>6.9999999999999993E-3</v>
      </c>
      <c r="P852" s="7">
        <v>-1.5999999999999999E-3</v>
      </c>
      <c r="Q852" s="7">
        <v>2.4324685907517463E-5</v>
      </c>
      <c r="R852" s="7">
        <v>3.1389E-2</v>
      </c>
      <c r="S852" s="7">
        <v>8.0000000000000004E-4</v>
      </c>
    </row>
    <row r="853" spans="1:19" x14ac:dyDescent="0.3">
      <c r="A853" s="2">
        <v>201712</v>
      </c>
      <c r="B853" s="6">
        <f t="shared" si="26"/>
        <v>1.0187712769143964E-2</v>
      </c>
      <c r="C853" s="4">
        <f t="shared" si="27"/>
        <v>1.0248999999999999E-2</v>
      </c>
      <c r="D853" s="5">
        <v>1.8301853066568959E-2</v>
      </c>
      <c r="E853" s="5">
        <v>1.8930385505382844E-2</v>
      </c>
      <c r="F853" s="7">
        <v>4.1097989460884395E-2</v>
      </c>
      <c r="G853" s="7">
        <v>0.44532234560982631</v>
      </c>
      <c r="H853" s="7">
        <v>2.4411329894817198E-4</v>
      </c>
      <c r="I853" s="7">
        <v>0.2353933430957158</v>
      </c>
      <c r="J853" s="7">
        <v>-1.98797967425457E-2</v>
      </c>
      <c r="K853" s="8">
        <v>1.32E-2</v>
      </c>
      <c r="L853" s="8">
        <v>2.5399999999999999E-2</v>
      </c>
      <c r="M853" s="8">
        <v>1.0200000000000001E-2</v>
      </c>
      <c r="N853" s="7">
        <v>1.2199999999999999E-2</v>
      </c>
      <c r="O853" s="7">
        <v>7.0999999999999952E-3</v>
      </c>
      <c r="P853" s="7">
        <v>1.54E-2</v>
      </c>
      <c r="Q853" s="7">
        <v>-5.8783227726233456E-4</v>
      </c>
      <c r="R853" s="7">
        <v>1.1148999999999999E-2</v>
      </c>
      <c r="S853" s="7">
        <v>8.9999999999999998E-4</v>
      </c>
    </row>
    <row r="854" spans="1:19" x14ac:dyDescent="0.3">
      <c r="A854" s="2">
        <v>201801</v>
      </c>
      <c r="B854" s="6">
        <f t="shared" si="26"/>
        <v>5.5337647159858623E-2</v>
      </c>
      <c r="C854" s="4">
        <f t="shared" si="27"/>
        <v>5.6960000000000004E-2</v>
      </c>
      <c r="D854" s="5">
        <v>1.7454794321594896E-2</v>
      </c>
      <c r="E854" s="5">
        <v>1.8435381667736523E-2</v>
      </c>
      <c r="F854" s="7">
        <v>3.9568290123391206E-2</v>
      </c>
      <c r="G854" s="7">
        <v>0.44113087189674427</v>
      </c>
      <c r="H854" s="7">
        <v>7.7426145706707889E-4</v>
      </c>
      <c r="I854" s="7">
        <v>0.22251914863023572</v>
      </c>
      <c r="J854" s="7">
        <v>-1.9044488935632986E-2</v>
      </c>
      <c r="K854" s="8">
        <v>1.41E-2</v>
      </c>
      <c r="L854" s="8">
        <v>2.8400000000000002E-2</v>
      </c>
      <c r="M854" s="8">
        <v>-3.15E-2</v>
      </c>
      <c r="N854" s="7">
        <v>1.4300000000000002E-2</v>
      </c>
      <c r="O854" s="7">
        <v>7.1000000000000021E-3</v>
      </c>
      <c r="P854" s="7">
        <v>7.1999999999999981E-3</v>
      </c>
      <c r="Q854" s="7">
        <v>5.4477454527752656E-3</v>
      </c>
      <c r="R854" s="7">
        <v>5.806E-2</v>
      </c>
      <c r="S854" s="7">
        <v>1.1000000000000001E-3</v>
      </c>
    </row>
    <row r="855" spans="1:19" x14ac:dyDescent="0.3">
      <c r="A855" s="2">
        <v>201802</v>
      </c>
      <c r="B855" s="6">
        <f t="shared" si="26"/>
        <v>-3.9487894982414444E-2</v>
      </c>
      <c r="C855" s="4">
        <f t="shared" si="27"/>
        <v>-3.8760999999999997E-2</v>
      </c>
      <c r="D855" s="5">
        <v>1.829371263893393E-2</v>
      </c>
      <c r="E855" s="5">
        <v>1.7581220468416099E-2</v>
      </c>
      <c r="F855" s="7">
        <v>4.1854746489893124E-2</v>
      </c>
      <c r="G855" s="7">
        <v>0.43707617828604939</v>
      </c>
      <c r="H855" s="7">
        <v>5.3616635148931811E-3</v>
      </c>
      <c r="I855" s="7">
        <v>0.23247806561935658</v>
      </c>
      <c r="J855" s="7">
        <v>-1.8320733861554771E-2</v>
      </c>
      <c r="K855" s="8">
        <v>1.5700000000000002E-2</v>
      </c>
      <c r="L855" s="8">
        <v>3.0099999999999998E-2</v>
      </c>
      <c r="M855" s="8">
        <v>-2.2400000000000003E-2</v>
      </c>
      <c r="N855" s="7">
        <v>1.4399999999999996E-2</v>
      </c>
      <c r="O855" s="7">
        <v>6.9000000000000034E-3</v>
      </c>
      <c r="P855" s="7">
        <v>-8.8999999999999982E-3</v>
      </c>
      <c r="Q855" s="7">
        <v>4.5346899748657243E-3</v>
      </c>
      <c r="R855" s="7">
        <v>-3.7661E-2</v>
      </c>
      <c r="S855" s="7">
        <v>1.1000000000000001E-3</v>
      </c>
    </row>
    <row r="856" spans="1:19" x14ac:dyDescent="0.3">
      <c r="A856" s="2">
        <v>201803</v>
      </c>
      <c r="B856" s="6">
        <f t="shared" si="26"/>
        <v>-2.6987968637165773E-2</v>
      </c>
      <c r="C856" s="4">
        <f t="shared" si="27"/>
        <v>-2.6658999999999999E-2</v>
      </c>
      <c r="D856" s="5">
        <v>1.8934301797730761E-2</v>
      </c>
      <c r="E856" s="5">
        <v>1.8425262300355304E-2</v>
      </c>
      <c r="F856" s="7">
        <v>4.371286735053221E-2</v>
      </c>
      <c r="G856" s="7">
        <v>0.43315167696269263</v>
      </c>
      <c r="H856" s="7">
        <v>3.2467401893443294E-3</v>
      </c>
      <c r="I856" s="7">
        <v>0.25953704729389693</v>
      </c>
      <c r="J856" s="7">
        <v>-1.8222298982752488E-2</v>
      </c>
      <c r="K856" s="8">
        <v>1.7000000000000001E-2</v>
      </c>
      <c r="L856" s="8">
        <v>2.8500000000000001E-2</v>
      </c>
      <c r="M856" s="8">
        <v>2.5899999999999999E-2</v>
      </c>
      <c r="N856" s="7">
        <v>1.15E-2</v>
      </c>
      <c r="O856" s="7">
        <v>7.6999999999999985E-3</v>
      </c>
      <c r="P856" s="7">
        <v>-1.35E-2</v>
      </c>
      <c r="Q856" s="7">
        <v>2.2611259041491749E-3</v>
      </c>
      <c r="R856" s="7">
        <v>-2.5458999999999999E-2</v>
      </c>
      <c r="S856" s="7">
        <v>1.1999999999999999E-3</v>
      </c>
    </row>
    <row r="857" spans="1:19" x14ac:dyDescent="0.3">
      <c r="A857" s="2">
        <v>201804</v>
      </c>
      <c r="B857" s="6">
        <f t="shared" si="26"/>
        <v>2.3638904468205133E-3</v>
      </c>
      <c r="C857" s="4">
        <f t="shared" si="27"/>
        <v>2.3699999999999997E-3</v>
      </c>
      <c r="D857" s="5">
        <v>1.9007237945673702E-2</v>
      </c>
      <c r="E857" s="5">
        <v>1.9058914843230169E-2</v>
      </c>
      <c r="F857" s="7">
        <v>4.4480529697953838E-2</v>
      </c>
      <c r="G857" s="7">
        <v>0.42731590821293797</v>
      </c>
      <c r="H857" s="7">
        <v>2.3626688640293776E-3</v>
      </c>
      <c r="I857" s="7">
        <v>0.25889215603098104</v>
      </c>
      <c r="J857" s="7">
        <v>-1.8606609651494934E-2</v>
      </c>
      <c r="K857" s="8">
        <v>1.7600000000000001E-2</v>
      </c>
      <c r="L857" s="8">
        <v>0.03</v>
      </c>
      <c r="M857" s="8">
        <v>-1.77E-2</v>
      </c>
      <c r="N857" s="7">
        <v>1.2399999999999998E-2</v>
      </c>
      <c r="O857" s="7">
        <v>8.199999999999999E-3</v>
      </c>
      <c r="P857" s="7">
        <v>-2.3E-3</v>
      </c>
      <c r="Q857" s="7">
        <v>3.9750915633489647E-3</v>
      </c>
      <c r="R857" s="7">
        <v>3.7699999999999999E-3</v>
      </c>
      <c r="S857" s="7">
        <v>1.4000000000000002E-3</v>
      </c>
    </row>
    <row r="858" spans="1:19" x14ac:dyDescent="0.3">
      <c r="A858" s="2">
        <v>201805</v>
      </c>
      <c r="B858" s="6">
        <f t="shared" si="26"/>
        <v>2.2122174127638457E-2</v>
      </c>
      <c r="C858" s="4">
        <f t="shared" si="27"/>
        <v>2.2400000000000003E-2</v>
      </c>
      <c r="D858" s="5">
        <v>1.8726856578274727E-2</v>
      </c>
      <c r="E858" s="5">
        <v>1.9131513111727221E-2</v>
      </c>
      <c r="F858" s="7">
        <v>4.4407150980616844E-2</v>
      </c>
      <c r="G858" s="7">
        <v>0.42170812954086517</v>
      </c>
      <c r="H858" s="7">
        <v>9.2271162301628656E-4</v>
      </c>
      <c r="I858" s="7">
        <v>0.25621277007057713</v>
      </c>
      <c r="J858" s="7">
        <v>-1.8934446084461726E-2</v>
      </c>
      <c r="K858" s="8">
        <v>1.8600000000000002E-2</v>
      </c>
      <c r="L858" s="8">
        <v>2.8899999999999999E-2</v>
      </c>
      <c r="M858" s="8">
        <v>1.6399999999999998E-2</v>
      </c>
      <c r="N858" s="7">
        <v>1.0299999999999997E-2</v>
      </c>
      <c r="O858" s="7">
        <v>8.3000000000000018E-3</v>
      </c>
      <c r="P858" s="7">
        <v>-2.3999999999999994E-3</v>
      </c>
      <c r="Q858" s="7">
        <v>4.1589169254347969E-3</v>
      </c>
      <c r="R858" s="7">
        <v>2.3800000000000002E-2</v>
      </c>
      <c r="S858" s="7">
        <v>1.4000000000000002E-3</v>
      </c>
    </row>
    <row r="859" spans="1:19" x14ac:dyDescent="0.3">
      <c r="A859" s="2">
        <v>201806</v>
      </c>
      <c r="B859" s="6">
        <f t="shared" si="26"/>
        <v>5.4176924132148929E-3</v>
      </c>
      <c r="C859" s="4">
        <f t="shared" si="27"/>
        <v>5.4399999999999995E-3</v>
      </c>
      <c r="D859" s="5">
        <v>1.8757671012031952E-2</v>
      </c>
      <c r="E859" s="5">
        <v>1.8848503161968046E-2</v>
      </c>
      <c r="F859" s="7">
        <v>4.505641248248031E-2</v>
      </c>
      <c r="G859" s="7">
        <v>0.41631523635677087</v>
      </c>
      <c r="H859" s="7">
        <v>6.2286547005641112E-4</v>
      </c>
      <c r="I859" s="7">
        <v>0.25773739556127973</v>
      </c>
      <c r="J859" s="7">
        <v>-2.2101278105779776E-2</v>
      </c>
      <c r="K859" s="8">
        <v>1.9E-2</v>
      </c>
      <c r="L859" s="8">
        <v>2.9100000000000001E-2</v>
      </c>
      <c r="M859" s="8">
        <v>7.000000000000001E-4</v>
      </c>
      <c r="N859" s="7">
        <v>1.0100000000000001E-2</v>
      </c>
      <c r="O859" s="7">
        <v>8.7000000000000063E-3</v>
      </c>
      <c r="P859" s="7">
        <v>-1.3100000000000001E-2</v>
      </c>
      <c r="Q859" s="7">
        <v>1.5938757015439009E-3</v>
      </c>
      <c r="R859" s="7">
        <v>6.8399999999999997E-3</v>
      </c>
      <c r="S859" s="7">
        <v>1.4000000000000002E-3</v>
      </c>
    </row>
    <row r="860" spans="1:19" x14ac:dyDescent="0.3">
      <c r="A860" s="2">
        <v>201807</v>
      </c>
      <c r="B860" s="6">
        <f t="shared" si="26"/>
        <v>3.4872060345461933E-2</v>
      </c>
      <c r="C860" s="4">
        <f t="shared" si="27"/>
        <v>3.5544000000000006E-2</v>
      </c>
      <c r="D860" s="5">
        <v>1.8265114248745197E-2</v>
      </c>
      <c r="E860" s="5">
        <v>1.8923052640957123E-2</v>
      </c>
      <c r="F860" s="7">
        <v>4.4426059342847032E-2</v>
      </c>
      <c r="G860" s="7">
        <v>0.41113514272757645</v>
      </c>
      <c r="H860" s="7">
        <v>6.5442892867346319E-4</v>
      </c>
      <c r="I860" s="7">
        <v>0.2461382346541576</v>
      </c>
      <c r="J860" s="7">
        <v>-1.7095921739531627E-2</v>
      </c>
      <c r="K860" s="8">
        <v>1.9599999999999999E-2</v>
      </c>
      <c r="L860" s="8">
        <v>3.0200000000000001E-2</v>
      </c>
      <c r="M860" s="8">
        <v>-1.3100000000000001E-2</v>
      </c>
      <c r="N860" s="7">
        <v>1.0600000000000002E-2</v>
      </c>
      <c r="O860" s="7">
        <v>9.1999999999999998E-3</v>
      </c>
      <c r="P860" s="7">
        <v>2.3199999999999998E-2</v>
      </c>
      <c r="Q860" s="7">
        <v>6.7463262285238912E-5</v>
      </c>
      <c r="R860" s="7">
        <v>3.7144000000000003E-2</v>
      </c>
      <c r="S860" s="7">
        <v>1.6000000000000001E-3</v>
      </c>
    </row>
    <row r="861" spans="1:19" x14ac:dyDescent="0.3">
      <c r="A861" s="2">
        <v>201808</v>
      </c>
      <c r="B861" s="6">
        <f t="shared" si="26"/>
        <v>3.0808447611486187E-2</v>
      </c>
      <c r="C861" s="4">
        <f t="shared" si="27"/>
        <v>3.1338000000000005E-2</v>
      </c>
      <c r="D861" s="5">
        <v>1.788353244720696E-2</v>
      </c>
      <c r="E861" s="5">
        <v>1.8424745699562168E-2</v>
      </c>
      <c r="F861" s="7">
        <v>4.4029795877103498E-2</v>
      </c>
      <c r="G861" s="7">
        <v>0.40616887021515374</v>
      </c>
      <c r="H861" s="7">
        <v>4.7127355753565585E-4</v>
      </c>
      <c r="I861" s="7">
        <v>0.24092791708165123</v>
      </c>
      <c r="J861" s="7">
        <v>-2.1451234147351488E-2</v>
      </c>
      <c r="K861" s="8">
        <v>2.0299999999999999E-2</v>
      </c>
      <c r="L861" s="8">
        <v>2.93E-2</v>
      </c>
      <c r="M861" s="8">
        <v>1.52E-2</v>
      </c>
      <c r="N861" s="7">
        <v>9.0000000000000011E-3</v>
      </c>
      <c r="O861" s="7">
        <v>8.8999999999999913E-3</v>
      </c>
      <c r="P861" s="7">
        <v>-9.4000000000000004E-3</v>
      </c>
      <c r="Q861" s="7">
        <v>5.5554232835719475E-4</v>
      </c>
      <c r="R861" s="7">
        <v>3.2938000000000002E-2</v>
      </c>
      <c r="S861" s="7">
        <v>1.6000000000000001E-3</v>
      </c>
    </row>
    <row r="862" spans="1:19" x14ac:dyDescent="0.3">
      <c r="A862" s="2">
        <v>201809</v>
      </c>
      <c r="B862" s="6">
        <f t="shared" si="26"/>
        <v>3.6259693935125387E-3</v>
      </c>
      <c r="C862" s="4">
        <f t="shared" si="27"/>
        <v>3.6380000000000002E-3</v>
      </c>
      <c r="D862" s="5">
        <v>1.7961343428864046E-2</v>
      </c>
      <c r="E862" s="5">
        <v>1.8038474842441636E-2</v>
      </c>
      <c r="F862" s="7">
        <v>4.4746360647636561E-2</v>
      </c>
      <c r="G862" s="7">
        <v>0.40140344754077195</v>
      </c>
      <c r="H862" s="7">
        <v>2.3007407748498282E-4</v>
      </c>
      <c r="I862" s="7">
        <v>0.23643422425695365</v>
      </c>
      <c r="J862" s="7">
        <v>-2.0834447976861042E-2</v>
      </c>
      <c r="K862" s="8">
        <v>2.1299999999999999E-2</v>
      </c>
      <c r="L862" s="8">
        <v>3.3399999999999999E-2</v>
      </c>
      <c r="M862" s="8">
        <v>-5.1799999999999999E-2</v>
      </c>
      <c r="N862" s="7">
        <v>1.21E-2</v>
      </c>
      <c r="O862" s="7">
        <v>8.9999999999999941E-3</v>
      </c>
      <c r="P862" s="7">
        <v>3.9800000000000002E-2</v>
      </c>
      <c r="Q862" s="7">
        <v>1.1620251758901468E-3</v>
      </c>
      <c r="R862" s="7">
        <v>5.1380000000000002E-3</v>
      </c>
      <c r="S862" s="7">
        <v>1.5E-3</v>
      </c>
    </row>
    <row r="863" spans="1:19" x14ac:dyDescent="0.3">
      <c r="A863" s="2">
        <v>201810</v>
      </c>
      <c r="B863" s="6">
        <f t="shared" si="26"/>
        <v>-7.2759599100323161E-2</v>
      </c>
      <c r="C863" s="4">
        <f t="shared" si="27"/>
        <v>-7.0308999999999996E-2</v>
      </c>
      <c r="D863" s="5">
        <v>1.9474109997553772E-2</v>
      </c>
      <c r="E863" s="5">
        <v>1.812254135058115E-2</v>
      </c>
      <c r="F863" s="7">
        <v>4.8329362942858341E-2</v>
      </c>
      <c r="G863" s="7">
        <v>0.40294572102220255</v>
      </c>
      <c r="H863" s="7">
        <v>4.5776017609032065E-3</v>
      </c>
      <c r="I863" s="7">
        <v>0.24907269379863481</v>
      </c>
      <c r="J863" s="7">
        <v>-2.1216895869018416E-2</v>
      </c>
      <c r="K863" s="8">
        <v>2.2499999999999999E-2</v>
      </c>
      <c r="L863" s="8">
        <v>3.5200000000000002E-2</v>
      </c>
      <c r="M863" s="8">
        <v>-2.0400000000000001E-2</v>
      </c>
      <c r="N863" s="7">
        <v>1.2700000000000003E-2</v>
      </c>
      <c r="O863" s="7">
        <v>9.3000000000000027E-3</v>
      </c>
      <c r="P863" s="7">
        <v>-1.1900000000000001E-2</v>
      </c>
      <c r="Q863" s="7">
        <v>1.766763455725906E-3</v>
      </c>
      <c r="R863" s="7">
        <v>-6.8408999999999998E-2</v>
      </c>
      <c r="S863" s="7">
        <v>1.9E-3</v>
      </c>
    </row>
    <row r="864" spans="1:19" x14ac:dyDescent="0.3">
      <c r="A864" s="2">
        <v>201811</v>
      </c>
      <c r="B864" s="6">
        <f t="shared" si="26"/>
        <v>1.7761078537244034E-2</v>
      </c>
      <c r="C864" s="4">
        <f t="shared" si="27"/>
        <v>1.7951999999999999E-2</v>
      </c>
      <c r="D864" s="5">
        <v>1.9302597508375086E-2</v>
      </c>
      <c r="E864" s="5">
        <v>1.964732996699229E-2</v>
      </c>
      <c r="F864" s="7">
        <v>4.7722905956275638E-2</v>
      </c>
      <c r="G864" s="7">
        <v>0.40447238326308932</v>
      </c>
      <c r="H864" s="7">
        <v>2.8376411626886253E-3</v>
      </c>
      <c r="I864" s="7">
        <v>0.24495016535844369</v>
      </c>
      <c r="J864" s="7">
        <v>-2.4593069247169249E-2</v>
      </c>
      <c r="K864" s="8">
        <v>2.3300000000000001E-2</v>
      </c>
      <c r="L864" s="8">
        <v>3.1699999999999999E-2</v>
      </c>
      <c r="M864" s="8">
        <v>5.0499999999999996E-2</v>
      </c>
      <c r="N864" s="7">
        <v>8.3999999999999977E-3</v>
      </c>
      <c r="O864" s="7">
        <v>1.0000000000000002E-2</v>
      </c>
      <c r="P864" s="7">
        <v>-4.3399999999999994E-2</v>
      </c>
      <c r="Q864" s="7">
        <v>-3.3493485181009808E-3</v>
      </c>
      <c r="R864" s="7">
        <v>1.9751999999999999E-2</v>
      </c>
      <c r="S864" s="7">
        <v>1.8E-3</v>
      </c>
    </row>
    <row r="865" spans="1:19" x14ac:dyDescent="0.3">
      <c r="A865" s="2">
        <v>201812</v>
      </c>
      <c r="B865" s="6">
        <f t="shared" si="26"/>
        <v>-9.6919018955507585E-2</v>
      </c>
      <c r="C865" s="4">
        <f t="shared" si="27"/>
        <v>-9.2546000000000003E-2</v>
      </c>
      <c r="D865" s="5">
        <v>2.1440524197545472E-2</v>
      </c>
      <c r="E865" s="5">
        <v>1.947277815664139E-2</v>
      </c>
      <c r="F865" s="7">
        <v>5.2811297046093698E-2</v>
      </c>
      <c r="G865" s="7">
        <v>0.40598367010058822</v>
      </c>
      <c r="H865" s="7">
        <v>6.7931023904227415E-3</v>
      </c>
      <c r="I865" s="7">
        <v>0.2681667871255593</v>
      </c>
      <c r="J865" s="7">
        <v>-1.922791014330778E-2</v>
      </c>
      <c r="K865" s="8">
        <v>2.3700000000000002E-2</v>
      </c>
      <c r="L865" s="8">
        <v>2.8400000000000002E-2</v>
      </c>
      <c r="M865" s="8">
        <v>4.8099999999999997E-2</v>
      </c>
      <c r="N865" s="7">
        <v>4.6999999999999993E-3</v>
      </c>
      <c r="O865" s="7">
        <v>1.1100000000000006E-2</v>
      </c>
      <c r="P865" s="7">
        <v>-1.1099999999999992E-2</v>
      </c>
      <c r="Q865" s="7">
        <v>-3.1939628151310684E-3</v>
      </c>
      <c r="R865" s="7">
        <v>-9.0646000000000004E-2</v>
      </c>
      <c r="S865" s="7">
        <v>1.9E-3</v>
      </c>
    </row>
    <row r="866" spans="1:19" x14ac:dyDescent="0.3">
      <c r="A866" s="2">
        <v>201901</v>
      </c>
      <c r="B866" s="6">
        <f t="shared" si="26"/>
        <v>7.6167022393838449E-2</v>
      </c>
      <c r="C866" s="4">
        <f t="shared" si="27"/>
        <v>7.9308999999999991E-2</v>
      </c>
      <c r="D866" s="5">
        <v>2.0023083926119064E-2</v>
      </c>
      <c r="E866" s="5">
        <v>2.1598589148485465E-2</v>
      </c>
      <c r="F866" s="7">
        <v>4.9205525625725811E-2</v>
      </c>
      <c r="G866" s="7">
        <v>0.40692754871518994</v>
      </c>
      <c r="H866" s="7">
        <v>3.0113956966286545E-3</v>
      </c>
      <c r="I866" s="7">
        <v>0.25022930380752567</v>
      </c>
      <c r="J866" s="7">
        <v>-1.9304704542889156E-2</v>
      </c>
      <c r="K866" s="8">
        <v>2.3700000000000002E-2</v>
      </c>
      <c r="L866" s="8">
        <v>2.7099999999999999E-2</v>
      </c>
      <c r="M866" s="8">
        <v>8.0000000000000002E-3</v>
      </c>
      <c r="N866" s="7">
        <v>3.3999999999999968E-3</v>
      </c>
      <c r="O866" s="7">
        <v>1.1900000000000001E-2</v>
      </c>
      <c r="P866" s="7">
        <v>1.9699999999999999E-2</v>
      </c>
      <c r="Q866" s="7">
        <v>1.9065966652469513E-3</v>
      </c>
      <c r="R866" s="7">
        <v>8.1408999999999995E-2</v>
      </c>
      <c r="S866" s="7">
        <v>2.0999999999999999E-3</v>
      </c>
    </row>
    <row r="867" spans="1:19" x14ac:dyDescent="0.3">
      <c r="A867" s="2">
        <v>201902</v>
      </c>
      <c r="B867" s="6">
        <f t="shared" si="26"/>
        <v>2.941729934486035E-2</v>
      </c>
      <c r="C867" s="4">
        <f t="shared" si="27"/>
        <v>2.9908000000000001E-2</v>
      </c>
      <c r="D867" s="5">
        <v>1.9587309893380044E-2</v>
      </c>
      <c r="E867" s="5">
        <v>2.0169618857483841E-2</v>
      </c>
      <c r="F867" s="7">
        <v>4.8024354123583454E-2</v>
      </c>
      <c r="G867" s="7">
        <v>0.40786201607157585</v>
      </c>
      <c r="H867" s="7">
        <v>5.3240271820094508E-4</v>
      </c>
      <c r="I867" s="7">
        <v>0.24138177187837628</v>
      </c>
      <c r="J867" s="7">
        <v>-2.3159332499405022E-2</v>
      </c>
      <c r="K867" s="8">
        <v>2.3900000000000001E-2</v>
      </c>
      <c r="L867" s="8">
        <v>2.6800000000000001E-2</v>
      </c>
      <c r="M867" s="8">
        <v>-9.1000000000000004E-3</v>
      </c>
      <c r="N867" s="7">
        <v>2.8999999999999998E-3</v>
      </c>
      <c r="O867" s="7">
        <v>1.1599999999999999E-2</v>
      </c>
      <c r="P867" s="7">
        <v>1.7000000000000001E-3</v>
      </c>
      <c r="Q867" s="7">
        <v>4.2270531400967482E-3</v>
      </c>
      <c r="R867" s="7">
        <v>3.1708E-2</v>
      </c>
      <c r="S867" s="7">
        <v>1.8E-3</v>
      </c>
    </row>
    <row r="868" spans="1:19" x14ac:dyDescent="0.3">
      <c r="A868" s="2">
        <v>201903</v>
      </c>
      <c r="B868" s="6">
        <f t="shared" si="26"/>
        <v>1.7444520349292603E-2</v>
      </c>
      <c r="C868" s="4">
        <f t="shared" si="27"/>
        <v>1.7631000000000001E-2</v>
      </c>
      <c r="D868" s="5">
        <v>1.9382202706345074E-2</v>
      </c>
      <c r="E868" s="5">
        <v>1.9729614273602977E-2</v>
      </c>
      <c r="F868" s="7">
        <v>4.7413916400848084E-2</v>
      </c>
      <c r="G868" s="7">
        <v>0.4087872122286525</v>
      </c>
      <c r="H868" s="7">
        <v>1.1070678624015972E-3</v>
      </c>
      <c r="I868" s="7">
        <v>0.24426966880736453</v>
      </c>
      <c r="J868" s="7">
        <v>-2.3231497737981485E-2</v>
      </c>
      <c r="K868" s="8">
        <v>2.4E-2</v>
      </c>
      <c r="L868" s="8">
        <v>2.5699999999999997E-2</v>
      </c>
      <c r="M868" s="8">
        <v>4.4699999999999997E-2</v>
      </c>
      <c r="N868" s="7">
        <v>1.6999999999999967E-3</v>
      </c>
      <c r="O868" s="7">
        <v>1.0700000000000001E-2</v>
      </c>
      <c r="P868" s="7">
        <v>3.7999999999999978E-3</v>
      </c>
      <c r="Q868" s="7">
        <v>5.6413583568060144E-3</v>
      </c>
      <c r="R868" s="7">
        <v>1.9531E-2</v>
      </c>
      <c r="S868" s="7">
        <v>1.9E-3</v>
      </c>
    </row>
    <row r="869" spans="1:19" x14ac:dyDescent="0.3">
      <c r="A869" s="2">
        <v>201904</v>
      </c>
      <c r="B869" s="6">
        <f t="shared" si="26"/>
        <v>3.7727539940981797E-2</v>
      </c>
      <c r="C869" s="4">
        <f t="shared" si="27"/>
        <v>3.8529000000000001E-2</v>
      </c>
      <c r="D869" s="5">
        <v>1.877808034300741E-2</v>
      </c>
      <c r="E869" s="5">
        <v>1.9516312374446232E-2</v>
      </c>
      <c r="F869" s="7">
        <v>4.5719993946417077E-2</v>
      </c>
      <c r="G869" s="7">
        <v>0.41071922198885125</v>
      </c>
      <c r="H869" s="7">
        <v>3.7443816097338409E-4</v>
      </c>
      <c r="I869" s="7">
        <v>0.23816836754028553</v>
      </c>
      <c r="J869" s="7">
        <v>-2.1699695498622065E-2</v>
      </c>
      <c r="K869" s="8">
        <v>2.3799999999999998E-2</v>
      </c>
      <c r="L869" s="8">
        <v>2.53E-2</v>
      </c>
      <c r="M869" s="8">
        <v>-1.26E-2</v>
      </c>
      <c r="N869" s="7">
        <v>1.5000000000000013E-3</v>
      </c>
      <c r="O869" s="7">
        <v>1.0099999999999998E-2</v>
      </c>
      <c r="P869" s="7">
        <v>3.7000000000000002E-3</v>
      </c>
      <c r="Q869" s="7">
        <v>5.2950016128905375E-3</v>
      </c>
      <c r="R869" s="7">
        <v>4.0628999999999998E-2</v>
      </c>
      <c r="S869" s="7">
        <v>2.0999999999999999E-3</v>
      </c>
    </row>
    <row r="870" spans="1:19" x14ac:dyDescent="0.3">
      <c r="A870" s="2">
        <v>201905</v>
      </c>
      <c r="B870" s="6">
        <f t="shared" si="26"/>
        <v>-6.7369387848879608E-2</v>
      </c>
      <c r="C870" s="4">
        <f t="shared" si="27"/>
        <v>-6.5286999999999998E-2</v>
      </c>
      <c r="D870" s="5">
        <v>2.0238349860683385E-2</v>
      </c>
      <c r="E870" s="5">
        <v>1.8907117123832612E-2</v>
      </c>
      <c r="F870" s="7">
        <v>4.904568351452053E-2</v>
      </c>
      <c r="G870" s="7">
        <v>0.41264283440339034</v>
      </c>
      <c r="H870" s="7">
        <v>1.8316354678563024E-3</v>
      </c>
      <c r="I870" s="7">
        <v>0.25523191738366358</v>
      </c>
      <c r="J870" s="7">
        <v>-2.0358312928706868E-2</v>
      </c>
      <c r="K870" s="8">
        <v>2.35E-2</v>
      </c>
      <c r="L870" s="8">
        <v>2.4E-2</v>
      </c>
      <c r="M870" s="8">
        <v>5.2999999999999999E-2</v>
      </c>
      <c r="N870" s="7">
        <v>5.0000000000000044E-4</v>
      </c>
      <c r="O870" s="7">
        <v>9.6000000000000044E-3</v>
      </c>
      <c r="P870" s="7">
        <v>-1.5400000000000004E-2</v>
      </c>
      <c r="Q870" s="7">
        <v>2.1287585893843275E-3</v>
      </c>
      <c r="R870" s="7">
        <v>-6.3186999999999993E-2</v>
      </c>
      <c r="S870" s="7">
        <v>2.0999999999999999E-3</v>
      </c>
    </row>
    <row r="871" spans="1:19" x14ac:dyDescent="0.3">
      <c r="A871" s="2">
        <v>201906</v>
      </c>
      <c r="B871" s="6">
        <f t="shared" si="26"/>
        <v>6.5449901970583133E-2</v>
      </c>
      <c r="C871" s="4">
        <f t="shared" si="27"/>
        <v>6.7761000000000002E-2</v>
      </c>
      <c r="D871" s="5">
        <v>1.9062491349108431E-2</v>
      </c>
      <c r="E871" s="5">
        <v>2.0376472002633039E-2</v>
      </c>
      <c r="F871" s="7">
        <v>4.5982676880565801E-2</v>
      </c>
      <c r="G871" s="7">
        <v>0.41455810410126503</v>
      </c>
      <c r="H871" s="7">
        <v>1.0648134369389752E-3</v>
      </c>
      <c r="I871" s="7">
        <v>0.23810523687469035</v>
      </c>
      <c r="J871" s="7">
        <v>-1.2538343192287265E-2</v>
      </c>
      <c r="K871" s="8">
        <v>2.1700000000000001E-2</v>
      </c>
      <c r="L871" s="8">
        <v>2.07E-2</v>
      </c>
      <c r="M871" s="8">
        <v>1.04E-2</v>
      </c>
      <c r="N871" s="7">
        <v>-1.0000000000000009E-3</v>
      </c>
      <c r="O871" s="7">
        <v>1.04E-2</v>
      </c>
      <c r="P871" s="7">
        <v>2.3300000000000001E-2</v>
      </c>
      <c r="Q871" s="7">
        <v>1.9914718148150712E-4</v>
      </c>
      <c r="R871" s="7">
        <v>6.9560999999999998E-2</v>
      </c>
      <c r="S871" s="7">
        <v>1.8E-3</v>
      </c>
    </row>
    <row r="872" spans="1:19" x14ac:dyDescent="0.3">
      <c r="A872" s="2">
        <v>201907</v>
      </c>
      <c r="B872" s="6">
        <f t="shared" si="26"/>
        <v>1.2599205693278749E-2</v>
      </c>
      <c r="C872" s="4">
        <f t="shared" si="27"/>
        <v>1.2702999999999999E-2</v>
      </c>
      <c r="D872" s="5">
        <v>1.8943229054305979E-2</v>
      </c>
      <c r="E872" s="5">
        <v>1.9191918647542789E-2</v>
      </c>
      <c r="F872" s="7">
        <v>4.5121764767998208E-2</v>
      </c>
      <c r="G872" s="7">
        <v>0.41982464896277999</v>
      </c>
      <c r="H872" s="7">
        <v>5.9353762643989138E-4</v>
      </c>
      <c r="I872" s="7">
        <v>0.23576259881890177</v>
      </c>
      <c r="J872" s="7">
        <v>-1.2604290902086836E-2</v>
      </c>
      <c r="K872" s="8">
        <v>2.1000000000000001E-2</v>
      </c>
      <c r="L872" s="8">
        <v>2.06E-2</v>
      </c>
      <c r="M872" s="8">
        <v>2.3999999999999998E-3</v>
      </c>
      <c r="N872" s="7">
        <v>-4.0000000000000105E-4</v>
      </c>
      <c r="O872" s="7">
        <v>9.900000000000006E-3</v>
      </c>
      <c r="P872" s="7">
        <v>6.0000000000000001E-3</v>
      </c>
      <c r="Q872" s="7">
        <v>1.6709416224534035E-3</v>
      </c>
      <c r="R872" s="7">
        <v>1.4603E-2</v>
      </c>
      <c r="S872" s="7">
        <v>1.9E-3</v>
      </c>
    </row>
    <row r="873" spans="1:19" x14ac:dyDescent="0.3">
      <c r="A873" s="2">
        <v>201908</v>
      </c>
      <c r="B873" s="6">
        <f t="shared" si="26"/>
        <v>-1.781448913855152E-2</v>
      </c>
      <c r="C873" s="4">
        <f t="shared" si="27"/>
        <v>-1.7684999999999999E-2</v>
      </c>
      <c r="D873" s="5">
        <v>1.9422361351504304E-2</v>
      </c>
      <c r="E873" s="5">
        <v>1.9070979229009643E-2</v>
      </c>
      <c r="F873" s="7">
        <v>4.5683180970060772E-2</v>
      </c>
      <c r="G873" s="7">
        <v>0.42515343588339582</v>
      </c>
      <c r="H873" s="7">
        <v>4.3178809257313315E-3</v>
      </c>
      <c r="I873" s="7">
        <v>0.23987891537092654</v>
      </c>
      <c r="J873" s="7">
        <v>-1.0142435804937046E-2</v>
      </c>
      <c r="K873" s="8">
        <v>1.95E-2</v>
      </c>
      <c r="L873" s="8">
        <v>1.6299999999999999E-2</v>
      </c>
      <c r="M873" s="8">
        <v>7.9699999999999993E-2</v>
      </c>
      <c r="N873" s="7">
        <v>-3.2000000000000015E-3</v>
      </c>
      <c r="O873" s="7">
        <v>8.8999999999999982E-3</v>
      </c>
      <c r="P873" s="7">
        <v>-5.8999999999999886E-3</v>
      </c>
      <c r="Q873" s="7">
        <v>-5.0668236082906937E-5</v>
      </c>
      <c r="R873" s="7">
        <v>-1.6084999999999999E-2</v>
      </c>
      <c r="S873" s="7">
        <v>1.6000000000000001E-3</v>
      </c>
    </row>
    <row r="874" spans="1:19" x14ac:dyDescent="0.3">
      <c r="A874" s="2">
        <v>201909</v>
      </c>
      <c r="B874" s="6">
        <f t="shared" si="26"/>
        <v>1.6818248220504692E-2</v>
      </c>
      <c r="C874" s="4">
        <f t="shared" si="27"/>
        <v>1.6990999999999999E-2</v>
      </c>
      <c r="D874" s="5">
        <v>1.9222205192999647E-2</v>
      </c>
      <c r="E874" s="5">
        <v>1.9552465318690111E-2</v>
      </c>
      <c r="F874" s="7">
        <v>4.4646156683641018E-2</v>
      </c>
      <c r="G874" s="7">
        <v>0.43054557482308287</v>
      </c>
      <c r="H874" s="7">
        <v>6.054245640852823E-4</v>
      </c>
      <c r="I874" s="7">
        <v>0.23530222472878221</v>
      </c>
      <c r="J874" s="7">
        <v>-1.0838111718759825E-2</v>
      </c>
      <c r="K874" s="8">
        <v>1.89E-2</v>
      </c>
      <c r="L874" s="8">
        <v>1.7000000000000001E-2</v>
      </c>
      <c r="M874" s="8">
        <v>-1.9199999999999998E-2</v>
      </c>
      <c r="N874" s="7">
        <v>-1.8999999999999989E-3</v>
      </c>
      <c r="O874" s="7">
        <v>8.8000000000000057E-3</v>
      </c>
      <c r="P874" s="7">
        <v>1.9999999999999879E-4</v>
      </c>
      <c r="Q874" s="7">
        <v>7.8344857693002368E-4</v>
      </c>
      <c r="R874" s="7">
        <v>1.8790999999999999E-2</v>
      </c>
      <c r="S874" s="7">
        <v>1.8E-3</v>
      </c>
    </row>
    <row r="875" spans="1:19" x14ac:dyDescent="0.3">
      <c r="A875" s="2">
        <v>201910</v>
      </c>
      <c r="B875" s="6">
        <f t="shared" si="26"/>
        <v>1.9891705391788143E-2</v>
      </c>
      <c r="C875" s="4">
        <f t="shared" si="27"/>
        <v>2.0121E-2</v>
      </c>
      <c r="D875" s="5">
        <v>1.8949379654467968E-2</v>
      </c>
      <c r="E875" s="5">
        <v>1.9336549035053316E-2</v>
      </c>
      <c r="F875" s="7">
        <v>4.4473194727373787E-2</v>
      </c>
      <c r="G875" s="7">
        <v>0.42608541550994983</v>
      </c>
      <c r="H875" s="7">
        <v>1.5103082008340026E-3</v>
      </c>
      <c r="I875" s="7">
        <v>0.23417644123307571</v>
      </c>
      <c r="J875" s="7">
        <v>-1.3157412431048692E-2</v>
      </c>
      <c r="K875" s="8">
        <v>1.6500000000000001E-2</v>
      </c>
      <c r="L875" s="8">
        <v>1.7100000000000001E-2</v>
      </c>
      <c r="M875" s="8">
        <v>-5.1999999999999998E-3</v>
      </c>
      <c r="N875" s="7">
        <v>5.9999999999999984E-4</v>
      </c>
      <c r="O875" s="7">
        <v>9.1000000000000004E-3</v>
      </c>
      <c r="P875" s="7">
        <v>5.7999999999999996E-3</v>
      </c>
      <c r="Q875" s="7">
        <v>2.2861905522297832E-3</v>
      </c>
      <c r="R875" s="7">
        <v>2.1621000000000001E-2</v>
      </c>
      <c r="S875" s="7">
        <v>1.5E-3</v>
      </c>
    </row>
    <row r="876" spans="1:19" x14ac:dyDescent="0.3">
      <c r="A876" s="2">
        <v>201911</v>
      </c>
      <c r="B876" s="6">
        <f t="shared" si="26"/>
        <v>3.43666851942604E-2</v>
      </c>
      <c r="C876" s="4">
        <f t="shared" si="27"/>
        <v>3.5006000000000002E-2</v>
      </c>
      <c r="D876" s="5">
        <v>1.8433817164441309E-2</v>
      </c>
      <c r="E876" s="5">
        <v>1.9061434027267253E-2</v>
      </c>
      <c r="F876" s="7">
        <v>4.370610474250778E-2</v>
      </c>
      <c r="G876" s="7">
        <v>0.42176756023084588</v>
      </c>
      <c r="H876" s="7">
        <v>3.0636312854375223E-4</v>
      </c>
      <c r="I876" s="7">
        <v>0.22578508405736206</v>
      </c>
      <c r="J876" s="7">
        <v>-7.7962362868447153E-3</v>
      </c>
      <c r="K876" s="8">
        <v>1.54E-2</v>
      </c>
      <c r="L876" s="8">
        <v>1.8100000000000002E-2</v>
      </c>
      <c r="M876" s="8">
        <v>-5.8999999999999999E-3</v>
      </c>
      <c r="N876" s="7">
        <v>2.700000000000001E-3</v>
      </c>
      <c r="O876" s="7">
        <v>8.7999999999999953E-3</v>
      </c>
      <c r="P876" s="7">
        <v>7.3000000000000001E-3</v>
      </c>
      <c r="Q876" s="7">
        <v>-5.3624303466914824E-4</v>
      </c>
      <c r="R876" s="7">
        <v>3.6206000000000002E-2</v>
      </c>
      <c r="S876" s="7">
        <v>1.1999999999999999E-3</v>
      </c>
    </row>
    <row r="877" spans="1:19" x14ac:dyDescent="0.3">
      <c r="A877" s="2">
        <v>201912</v>
      </c>
      <c r="B877" s="6">
        <f t="shared" si="26"/>
        <v>2.7952963826066934E-2</v>
      </c>
      <c r="C877" s="4">
        <f t="shared" si="27"/>
        <v>2.8387000000000003E-2</v>
      </c>
      <c r="D877" s="5">
        <v>1.8026799111349197E-2</v>
      </c>
      <c r="E877" s="5">
        <v>1.8542182034455987E-2</v>
      </c>
      <c r="F877" s="7">
        <v>4.3169141429653175E-2</v>
      </c>
      <c r="G877" s="7">
        <v>0.41758530548320016</v>
      </c>
      <c r="H877" s="7">
        <v>5.0237282308150731E-4</v>
      </c>
      <c r="I877" s="7">
        <v>0.22193189681695102</v>
      </c>
      <c r="J877" s="7">
        <v>-7.1991511205915229E-3</v>
      </c>
      <c r="K877" s="8">
        <v>1.54E-2</v>
      </c>
      <c r="L877" s="8">
        <v>1.8600000000000002E-2</v>
      </c>
      <c r="M877" s="8">
        <v>-2.53E-2</v>
      </c>
      <c r="N877" s="7">
        <v>3.2000000000000015E-3</v>
      </c>
      <c r="O877" s="7">
        <v>8.7000000000000029E-3</v>
      </c>
      <c r="P877" s="7">
        <v>1.6399999999999998E-2</v>
      </c>
      <c r="Q877" s="7">
        <v>-9.0976952505383846E-4</v>
      </c>
      <c r="R877" s="7">
        <v>2.9787000000000001E-2</v>
      </c>
      <c r="S877" s="7">
        <v>1.4000000000000002E-3</v>
      </c>
    </row>
    <row r="878" spans="1:19" x14ac:dyDescent="0.3">
      <c r="A878" s="2">
        <v>202001</v>
      </c>
      <c r="B878" s="6">
        <f t="shared" si="26"/>
        <v>-1.1911615632002619E-3</v>
      </c>
      <c r="C878" s="4">
        <f t="shared" si="27"/>
        <v>-1.1919999999999999E-3</v>
      </c>
      <c r="D878" s="5">
        <v>1.8194673385775934E-2</v>
      </c>
      <c r="E878" s="5">
        <v>1.8165050660367318E-2</v>
      </c>
      <c r="F878" s="7">
        <v>4.084819398629265E-2</v>
      </c>
      <c r="G878" s="7">
        <v>0.44542173374620891</v>
      </c>
      <c r="H878" s="7">
        <v>1.1190222873229286E-3</v>
      </c>
      <c r="I878" s="7">
        <v>0.22415003656131013</v>
      </c>
      <c r="J878" s="7">
        <v>-7.6936909421270504E-3</v>
      </c>
      <c r="K878" s="8">
        <v>1.52E-2</v>
      </c>
      <c r="L878" s="8">
        <v>1.7600000000000001E-2</v>
      </c>
      <c r="M878" s="8">
        <v>6.3200000000000006E-2</v>
      </c>
      <c r="N878" s="7">
        <v>2.4000000000000011E-3</v>
      </c>
      <c r="O878" s="7">
        <v>8.2999999999999984E-3</v>
      </c>
      <c r="P878" s="7">
        <v>-1.1300000000000004E-2</v>
      </c>
      <c r="Q878" s="7">
        <v>3.8797699378148032E-3</v>
      </c>
      <c r="R878" s="7">
        <v>1.08E-4</v>
      </c>
      <c r="S878" s="7">
        <v>1.2999999999999999E-3</v>
      </c>
    </row>
    <row r="879" spans="1:19" x14ac:dyDescent="0.3">
      <c r="A879" s="2">
        <v>202002</v>
      </c>
      <c r="B879" s="6">
        <f t="shared" si="26"/>
        <v>-8.6617745105884547E-2</v>
      </c>
      <c r="C879" s="4">
        <f t="shared" si="27"/>
        <v>-8.3072000000000007E-2</v>
      </c>
      <c r="D879" s="5">
        <v>2.0016770329506283E-2</v>
      </c>
      <c r="E879" s="5">
        <v>1.83331503890331E-2</v>
      </c>
      <c r="F879" s="7">
        <v>4.1988522633159796E-2</v>
      </c>
      <c r="G879" s="7">
        <v>0.47672004334104257</v>
      </c>
      <c r="H879" s="7">
        <v>4.7766393771941015E-3</v>
      </c>
      <c r="I879" s="7">
        <v>0.24926208908011874</v>
      </c>
      <c r="J879" s="7">
        <v>-5.560160933259963E-3</v>
      </c>
      <c r="K879" s="8">
        <v>1.52E-2</v>
      </c>
      <c r="L879" s="8">
        <v>1.4999999999999999E-2</v>
      </c>
      <c r="M879" s="8">
        <v>5.8799999999999998E-2</v>
      </c>
      <c r="N879" s="7">
        <v>-2.0000000000000052E-4</v>
      </c>
      <c r="O879" s="7">
        <v>8.3000000000000018E-3</v>
      </c>
      <c r="P879" s="7">
        <v>-3.0800000000000001E-2</v>
      </c>
      <c r="Q879" s="7">
        <v>2.7406181314952871E-3</v>
      </c>
      <c r="R879" s="7">
        <v>-8.1872E-2</v>
      </c>
      <c r="S879" s="7">
        <v>1.1999999999999999E-3</v>
      </c>
    </row>
    <row r="880" spans="1:19" x14ac:dyDescent="0.3">
      <c r="A880" s="2">
        <v>202003</v>
      </c>
      <c r="B880" s="6">
        <f t="shared" si="26"/>
        <v>-0.13130454907184802</v>
      </c>
      <c r="C880" s="4">
        <f t="shared" si="27"/>
        <v>-0.123197</v>
      </c>
      <c r="D880" s="5">
        <v>2.3052245650714471E-2</v>
      </c>
      <c r="E880" s="5">
        <v>2.0167964331153445E-2</v>
      </c>
      <c r="F880" s="7">
        <v>4.5009073005776543E-2</v>
      </c>
      <c r="G880" s="7">
        <v>0.5121688608818028</v>
      </c>
      <c r="H880" s="7">
        <v>7.315314404330317E-2</v>
      </c>
      <c r="I880" s="7">
        <v>0.30250451941808587</v>
      </c>
      <c r="J880" s="7">
        <v>-7.7002922667343352E-3</v>
      </c>
      <c r="K880" s="8">
        <v>2.8999999999999998E-3</v>
      </c>
      <c r="L880" s="8">
        <v>8.6999999999999994E-3</v>
      </c>
      <c r="M880" s="8">
        <v>6.25E-2</v>
      </c>
      <c r="N880" s="7">
        <v>5.7999999999999996E-3</v>
      </c>
      <c r="O880" s="7">
        <v>1.2699999999999999E-2</v>
      </c>
      <c r="P880" s="7">
        <v>-9.7599999999999992E-2</v>
      </c>
      <c r="Q880" s="7">
        <v>-2.1764510317846542E-3</v>
      </c>
      <c r="R880" s="7">
        <v>-0.12199699999999999</v>
      </c>
      <c r="S880" s="7">
        <v>1.1999999999999999E-3</v>
      </c>
    </row>
    <row r="881" spans="1:19" x14ac:dyDescent="0.3">
      <c r="A881" s="2">
        <v>202004</v>
      </c>
      <c r="B881" s="6">
        <f t="shared" si="26"/>
        <v>0.12123484906560053</v>
      </c>
      <c r="C881" s="4">
        <f t="shared" si="27"/>
        <v>0.12889</v>
      </c>
      <c r="D881" s="5">
        <v>2.0469117858660273E-2</v>
      </c>
      <c r="E881" s="5">
        <v>2.3065504751275032E-2</v>
      </c>
      <c r="F881" s="7">
        <v>3.7985462311540534E-2</v>
      </c>
      <c r="G881" s="7">
        <v>0.53886715109010164</v>
      </c>
      <c r="H881" s="7">
        <v>1.4307538537136935E-2</v>
      </c>
      <c r="I881" s="7">
        <v>0.27232877072438194</v>
      </c>
      <c r="J881" s="7">
        <v>-1.0538055895600537E-2</v>
      </c>
      <c r="K881" s="8">
        <v>1.4000000000000002E-3</v>
      </c>
      <c r="L881" s="8">
        <v>6.6E-3</v>
      </c>
      <c r="M881" s="8">
        <v>8.199999999999999E-3</v>
      </c>
      <c r="N881" s="7">
        <v>5.1999999999999998E-3</v>
      </c>
      <c r="O881" s="7">
        <v>1.6999999999999994E-2</v>
      </c>
      <c r="P881" s="7">
        <v>2.6500000000000003E-2</v>
      </c>
      <c r="Q881" s="7">
        <v>-6.6869418669972536E-3</v>
      </c>
      <c r="R881" s="7">
        <v>0.12889</v>
      </c>
      <c r="S881" s="7">
        <v>0</v>
      </c>
    </row>
    <row r="882" spans="1:19" x14ac:dyDescent="0.3">
      <c r="A882" s="2">
        <v>202005</v>
      </c>
      <c r="B882" s="6">
        <f t="shared" si="26"/>
        <v>4.66099116950199E-2</v>
      </c>
      <c r="C882" s="4">
        <f t="shared" si="27"/>
        <v>4.7717999999999997E-2</v>
      </c>
      <c r="D882" s="5">
        <v>1.9593649222259153E-2</v>
      </c>
      <c r="E882" s="5">
        <v>2.0480884438017658E-2</v>
      </c>
      <c r="F882" s="7">
        <v>3.446758050264264E-2</v>
      </c>
      <c r="G882" s="7">
        <v>0.56846604654356003</v>
      </c>
      <c r="H882" s="7">
        <v>4.0720323284372329E-3</v>
      </c>
      <c r="I882" s="7">
        <v>0.26119888382471651</v>
      </c>
      <c r="J882" s="7">
        <v>-1.4966918023271729E-2</v>
      </c>
      <c r="K882" s="8">
        <v>1.2999999999999999E-3</v>
      </c>
      <c r="L882" s="8">
        <v>6.7000000000000002E-3</v>
      </c>
      <c r="M882" s="8">
        <v>-9.7000000000000003E-3</v>
      </c>
      <c r="N882" s="7">
        <v>5.4000000000000003E-3</v>
      </c>
      <c r="O882" s="7">
        <v>1.4499999999999999E-2</v>
      </c>
      <c r="P882" s="7">
        <v>1.8099999999999998E-2</v>
      </c>
      <c r="Q882" s="7">
        <v>1.9501616683959E-5</v>
      </c>
      <c r="R882" s="7">
        <v>4.7817999999999999E-2</v>
      </c>
      <c r="S882" s="7">
        <v>1E-4</v>
      </c>
    </row>
    <row r="883" spans="1:19" x14ac:dyDescent="0.3">
      <c r="A883" s="2">
        <v>202006</v>
      </c>
      <c r="B883" s="6">
        <f t="shared" si="26"/>
        <v>2.004375057897706E-2</v>
      </c>
      <c r="C883" s="4">
        <f t="shared" si="27"/>
        <v>2.0248000000000002E-2</v>
      </c>
      <c r="D883" s="5">
        <v>1.9250912528354952E-2</v>
      </c>
      <c r="E883" s="5">
        <v>1.9604906071501779E-2</v>
      </c>
      <c r="F883" s="7">
        <v>3.2006683245760885E-2</v>
      </c>
      <c r="G883" s="7">
        <v>0.60146539960227319</v>
      </c>
      <c r="H883" s="7">
        <v>7.2085508179596256E-3</v>
      </c>
      <c r="I883" s="7">
        <v>0.25685006864789978</v>
      </c>
      <c r="J883" s="7">
        <v>-1.684502389401335E-2</v>
      </c>
      <c r="K883" s="8">
        <v>1.6000000000000001E-3</v>
      </c>
      <c r="L883" s="8">
        <v>7.3000000000000001E-3</v>
      </c>
      <c r="M883" s="8">
        <v>2.3E-3</v>
      </c>
      <c r="N883" s="7">
        <v>5.7000000000000002E-3</v>
      </c>
      <c r="O883" s="7">
        <v>1.2000000000000004E-2</v>
      </c>
      <c r="P883" s="7">
        <v>1.23E-2</v>
      </c>
      <c r="Q883" s="7">
        <v>5.4720469277753647E-3</v>
      </c>
      <c r="R883" s="7">
        <v>2.0348000000000002E-2</v>
      </c>
      <c r="S883" s="7">
        <v>1E-4</v>
      </c>
    </row>
    <row r="884" spans="1:19" x14ac:dyDescent="0.3">
      <c r="A884" s="2">
        <v>202007</v>
      </c>
      <c r="B884" s="6">
        <f t="shared" si="26"/>
        <v>5.5249561621148212E-2</v>
      </c>
      <c r="C884" s="4">
        <f t="shared" si="27"/>
        <v>5.6809999999999999E-2</v>
      </c>
      <c r="D884" s="5">
        <v>1.8160758386442308E-2</v>
      </c>
      <c r="E884" s="5">
        <v>1.9161439727592953E-2</v>
      </c>
      <c r="F884" s="7">
        <v>3.023225480365543E-2</v>
      </c>
      <c r="G884" s="7">
        <v>0.60070803532148265</v>
      </c>
      <c r="H884" s="7">
        <v>1.6079458489850506E-3</v>
      </c>
      <c r="I884" s="7">
        <v>0.25086876502176453</v>
      </c>
      <c r="J884" s="7">
        <v>-1.1998150877905407E-2</v>
      </c>
      <c r="K884" s="8">
        <v>1.2999999999999999E-3</v>
      </c>
      <c r="L884" s="8">
        <v>6.1999999999999998E-3</v>
      </c>
      <c r="M884" s="8">
        <v>2.87E-2</v>
      </c>
      <c r="N884" s="7">
        <v>4.8999999999999998E-3</v>
      </c>
      <c r="O884" s="7">
        <v>1.1699999999999995E-2</v>
      </c>
      <c r="P884" s="7">
        <v>3.2299999999999995E-2</v>
      </c>
      <c r="Q884" s="7">
        <v>5.0582435016697236E-3</v>
      </c>
      <c r="R884" s="7">
        <v>5.6910000000000002E-2</v>
      </c>
      <c r="S884" s="7">
        <v>1E-4</v>
      </c>
    </row>
    <row r="885" spans="1:19" x14ac:dyDescent="0.3">
      <c r="A885" s="2">
        <v>202008</v>
      </c>
      <c r="B885" s="6">
        <f t="shared" si="26"/>
        <v>6.948949847232061E-2</v>
      </c>
      <c r="C885" s="4">
        <f t="shared" si="27"/>
        <v>7.196799999999999E-2</v>
      </c>
      <c r="D885" s="5">
        <v>1.689239762866282E-2</v>
      </c>
      <c r="E885" s="5">
        <v>1.8075958186671463E-2</v>
      </c>
      <c r="F885" s="7">
        <v>2.8156553752858082E-2</v>
      </c>
      <c r="G885" s="7">
        <v>0.59994549677259867</v>
      </c>
      <c r="H885" s="7">
        <v>7.4339212612047946E-4</v>
      </c>
      <c r="I885" s="7">
        <v>0.23320535841477591</v>
      </c>
      <c r="J885" s="7">
        <v>-8.5038819104106041E-3</v>
      </c>
      <c r="K885" s="8">
        <v>1E-3</v>
      </c>
      <c r="L885" s="8">
        <v>6.5000000000000006E-3</v>
      </c>
      <c r="M885" s="8">
        <v>-3.49E-2</v>
      </c>
      <c r="N885" s="7">
        <v>5.5000000000000005E-3</v>
      </c>
      <c r="O885" s="7">
        <v>1.0200000000000001E-2</v>
      </c>
      <c r="P885" s="7">
        <v>-1.3899999999999996E-2</v>
      </c>
      <c r="Q885" s="7">
        <v>3.1532105240814623E-3</v>
      </c>
      <c r="R885" s="7">
        <v>7.2067999999999993E-2</v>
      </c>
      <c r="S885" s="7">
        <v>1E-4</v>
      </c>
    </row>
    <row r="886" spans="1:19" x14ac:dyDescent="0.3">
      <c r="A886" s="2">
        <v>202009</v>
      </c>
      <c r="B886" s="6">
        <f t="shared" si="26"/>
        <v>-3.8997800293969577E-2</v>
      </c>
      <c r="C886" s="4">
        <f t="shared" si="27"/>
        <v>-3.8251E-2</v>
      </c>
      <c r="D886" s="5">
        <v>1.7499624357451778E-2</v>
      </c>
      <c r="E886" s="5">
        <v>1.6813149896469263E-2</v>
      </c>
      <c r="F886" s="7">
        <v>2.920606601248885E-2</v>
      </c>
      <c r="G886" s="7">
        <v>0.59917773074842529</v>
      </c>
      <c r="H886" s="7">
        <v>4.9074417277619525E-3</v>
      </c>
      <c r="I886" s="7">
        <v>0.23864774293869706</v>
      </c>
      <c r="J886" s="7">
        <v>-5.6980768983531027E-3</v>
      </c>
      <c r="K886" s="8">
        <v>1.1000000000000001E-3</v>
      </c>
      <c r="L886" s="8">
        <v>6.8000000000000005E-3</v>
      </c>
      <c r="M886" s="8">
        <v>8.0000000000000002E-3</v>
      </c>
      <c r="N886" s="7">
        <v>5.7000000000000002E-3</v>
      </c>
      <c r="O886" s="7">
        <v>1.0499999999999999E-2</v>
      </c>
      <c r="P886" s="7">
        <v>-3.9000000000000007E-3</v>
      </c>
      <c r="Q886" s="7">
        <v>1.3927469432666317E-3</v>
      </c>
      <c r="R886" s="7">
        <v>-3.8150999999999997E-2</v>
      </c>
      <c r="S886" s="7">
        <v>1E-4</v>
      </c>
    </row>
    <row r="887" spans="1:19" x14ac:dyDescent="0.3">
      <c r="A887" s="2">
        <v>202010</v>
      </c>
      <c r="B887" s="6">
        <f t="shared" si="26"/>
        <v>-2.6863976394607397E-2</v>
      </c>
      <c r="C887" s="4">
        <f t="shared" si="27"/>
        <v>-2.6508999999999998E-2</v>
      </c>
      <c r="D887" s="5">
        <v>1.7939191872299236E-2</v>
      </c>
      <c r="E887" s="5">
        <v>1.7442890233346303E-2</v>
      </c>
      <c r="F887" s="7">
        <v>2.9620138064889685E-2</v>
      </c>
      <c r="G887" s="7">
        <v>0.60564173715191116</v>
      </c>
      <c r="H887" s="7">
        <v>3.6611052326493213E-3</v>
      </c>
      <c r="I887" s="7">
        <v>0.25017508376852721</v>
      </c>
      <c r="J887" s="7">
        <v>-1.89510776403021E-3</v>
      </c>
      <c r="K887" s="8">
        <v>1E-3</v>
      </c>
      <c r="L887" s="8">
        <v>7.9000000000000008E-3</v>
      </c>
      <c r="M887" s="8">
        <v>-2.3799999999999998E-2</v>
      </c>
      <c r="N887" s="7">
        <v>6.9000000000000008E-3</v>
      </c>
      <c r="O887" s="7">
        <v>1.09E-2</v>
      </c>
      <c r="P887" s="7">
        <v>4.7999999999999987E-3</v>
      </c>
      <c r="Q887" s="7">
        <v>4.1493775933609811E-4</v>
      </c>
      <c r="R887" s="7">
        <v>-2.6408999999999998E-2</v>
      </c>
      <c r="S887" s="7">
        <v>1E-4</v>
      </c>
    </row>
    <row r="888" spans="1:19" x14ac:dyDescent="0.3">
      <c r="A888" s="2">
        <v>202011</v>
      </c>
      <c r="B888" s="6">
        <f t="shared" si="26"/>
        <v>0.10372293918471481</v>
      </c>
      <c r="C888" s="4">
        <f t="shared" si="27"/>
        <v>0.109304</v>
      </c>
      <c r="D888" s="5">
        <v>1.6144565567265814E-2</v>
      </c>
      <c r="E888" s="5">
        <v>1.7880843495142719E-2</v>
      </c>
      <c r="F888" s="7">
        <v>2.6367501189611675E-2</v>
      </c>
      <c r="G888" s="7">
        <v>0.61229031341151441</v>
      </c>
      <c r="H888" s="7">
        <v>2.4924032781025404E-3</v>
      </c>
      <c r="I888" s="7">
        <v>0.22369582409989122</v>
      </c>
      <c r="J888" s="7">
        <v>-5.2618164306977942E-3</v>
      </c>
      <c r="K888" s="8">
        <v>8.9999999999999998E-4</v>
      </c>
      <c r="L888" s="8">
        <v>8.6999999999999994E-3</v>
      </c>
      <c r="M888" s="8">
        <v>9.300000000000001E-3</v>
      </c>
      <c r="N888" s="7">
        <v>7.7999999999999996E-3</v>
      </c>
      <c r="O888" s="7">
        <v>1.0000000000000002E-2</v>
      </c>
      <c r="P888" s="7">
        <v>4.1599999999999998E-2</v>
      </c>
      <c r="Q888" s="7">
        <v>-6.1062721784410634E-4</v>
      </c>
      <c r="R888" s="7">
        <v>0.109404</v>
      </c>
      <c r="S888" s="7">
        <v>1E-4</v>
      </c>
    </row>
    <row r="889" spans="1:19" x14ac:dyDescent="0.3">
      <c r="A889" s="2">
        <v>202012</v>
      </c>
      <c r="B889" s="6">
        <f t="shared" si="26"/>
        <v>4.0631115390084363E-2</v>
      </c>
      <c r="C889" s="4">
        <f t="shared" si="27"/>
        <v>4.1471999999999995E-2</v>
      </c>
      <c r="D889" s="5">
        <v>1.5515910549060633E-2</v>
      </c>
      <c r="E889" s="5">
        <v>1.6091882974243688E-2</v>
      </c>
      <c r="F889" s="7">
        <v>2.5060768303040142E-2</v>
      </c>
      <c r="G889" s="7">
        <v>0.61913147918846467</v>
      </c>
      <c r="H889" s="7">
        <v>6.7817693535855142E-4</v>
      </c>
      <c r="I889" s="7">
        <v>0.21662210094071582</v>
      </c>
      <c r="J889" s="7">
        <v>-9.7881530232883296E-5</v>
      </c>
      <c r="K889" s="8">
        <v>8.9999999999999998E-4</v>
      </c>
      <c r="L889" s="8">
        <v>9.300000000000001E-3</v>
      </c>
      <c r="M889" s="8">
        <v>-1.15E-2</v>
      </c>
      <c r="N889" s="7">
        <v>8.4000000000000012E-3</v>
      </c>
      <c r="O889" s="7">
        <v>9.0000000000000045E-3</v>
      </c>
      <c r="P889" s="7">
        <v>1.15E-2</v>
      </c>
      <c r="Q889" s="7">
        <v>9.4147846704251137E-4</v>
      </c>
      <c r="R889" s="7">
        <v>4.1571999999999998E-2</v>
      </c>
      <c r="S889" s="7">
        <v>1E-4</v>
      </c>
    </row>
    <row r="890" spans="1:19" x14ac:dyDescent="0.3">
      <c r="A890" s="2">
        <v>202101</v>
      </c>
      <c r="B890" s="6">
        <f t="shared" si="26"/>
        <v>-1.0102862485526025E-2</v>
      </c>
      <c r="C890" s="4">
        <f t="shared" si="27"/>
        <v>-1.0052E-2</v>
      </c>
      <c r="D890" s="5">
        <v>1.5632725163777155E-2</v>
      </c>
      <c r="E890" s="5">
        <v>1.5458629128932011E-2</v>
      </c>
      <c r="F890" s="7">
        <v>2.8400605956175867E-2</v>
      </c>
      <c r="G890" s="7">
        <v>0.55043632477065985</v>
      </c>
      <c r="H890" s="7">
        <v>2.0775884440576383E-3</v>
      </c>
      <c r="I890" s="7">
        <v>0.22112944098947993</v>
      </c>
      <c r="J890" s="7">
        <v>2.6973384028275149E-3</v>
      </c>
      <c r="K890" s="8">
        <v>8.0000000000000004E-4</v>
      </c>
      <c r="L890" s="8">
        <v>1.0800000000000001E-2</v>
      </c>
      <c r="M890" s="8">
        <v>-3.04E-2</v>
      </c>
      <c r="N890" s="7">
        <v>0.01</v>
      </c>
      <c r="O890" s="7">
        <v>7.9000000000000042E-3</v>
      </c>
      <c r="P890" s="7">
        <v>-2.6999999999999975E-3</v>
      </c>
      <c r="Q890" s="7">
        <v>4.2537834870275404E-3</v>
      </c>
      <c r="R890" s="7">
        <v>-1.0052E-2</v>
      </c>
      <c r="S890" s="7">
        <v>0</v>
      </c>
    </row>
    <row r="891" spans="1:19" x14ac:dyDescent="0.3">
      <c r="A891" s="2">
        <v>202102</v>
      </c>
      <c r="B891" s="6">
        <f t="shared" si="26"/>
        <v>2.5769106133958788E-2</v>
      </c>
      <c r="C891" s="4">
        <f t="shared" si="27"/>
        <v>2.6103999999999999E-2</v>
      </c>
      <c r="D891" s="5">
        <v>1.5178762339085354E-2</v>
      </c>
      <c r="E891" s="5">
        <v>1.5574798636761531E-2</v>
      </c>
      <c r="F891" s="7">
        <v>3.0658287743419523E-2</v>
      </c>
      <c r="G891" s="7">
        <v>0.49509491417515039</v>
      </c>
      <c r="H891" s="7">
        <v>1.5012680519751894E-3</v>
      </c>
      <c r="I891" s="7">
        <v>0.21433986467897545</v>
      </c>
      <c r="J891" s="7">
        <v>7.0137024239651071E-3</v>
      </c>
      <c r="K891" s="8">
        <v>4.0000000000000002E-4</v>
      </c>
      <c r="L891" s="8">
        <v>1.26E-2</v>
      </c>
      <c r="M891" s="8">
        <v>-5.8099999999999999E-2</v>
      </c>
      <c r="N891" s="7">
        <v>1.2200000000000001E-2</v>
      </c>
      <c r="O891" s="7">
        <v>7.1999999999999981E-3</v>
      </c>
      <c r="P891" s="7">
        <v>1.7900000000000006E-2</v>
      </c>
      <c r="Q891" s="7">
        <v>5.4743827939232048E-3</v>
      </c>
      <c r="R891" s="7">
        <v>2.6103999999999999E-2</v>
      </c>
      <c r="S891" s="7">
        <v>0</v>
      </c>
    </row>
    <row r="892" spans="1:19" x14ac:dyDescent="0.3">
      <c r="A892" s="2">
        <v>202103</v>
      </c>
      <c r="B892" s="6">
        <f t="shared" si="26"/>
        <v>4.2402185360825448E-2</v>
      </c>
      <c r="C892" s="4">
        <f t="shared" si="27"/>
        <v>4.3313999999999998E-2</v>
      </c>
      <c r="D892" s="5">
        <v>1.4506665692959695E-2</v>
      </c>
      <c r="E892" s="5">
        <v>1.5122308768981185E-2</v>
      </c>
      <c r="F892" s="7">
        <v>3.2268701121853358E-2</v>
      </c>
      <c r="G892" s="7">
        <v>0.44955840144229836</v>
      </c>
      <c r="H892" s="7">
        <v>2.4731909837771037E-3</v>
      </c>
      <c r="I892" s="7">
        <v>0.19383746367287163</v>
      </c>
      <c r="J892" s="7">
        <v>1.5718345038920091E-2</v>
      </c>
      <c r="K892" s="8">
        <v>2.9999999999999997E-4</v>
      </c>
      <c r="L892" s="8">
        <v>1.61E-2</v>
      </c>
      <c r="M892" s="8">
        <v>-3.2199999999999999E-2</v>
      </c>
      <c r="N892" s="7">
        <v>1.5799999999999998E-2</v>
      </c>
      <c r="O892" s="7">
        <v>7.0000000000000027E-3</v>
      </c>
      <c r="P892" s="7">
        <v>-8.000000000000021E-4</v>
      </c>
      <c r="Q892" s="7">
        <v>7.083273133749568E-3</v>
      </c>
      <c r="R892" s="7">
        <v>4.3313999999999998E-2</v>
      </c>
      <c r="S892" s="7">
        <v>0</v>
      </c>
    </row>
    <row r="893" spans="1:19" x14ac:dyDescent="0.3">
      <c r="A893" s="2">
        <v>202104</v>
      </c>
      <c r="B893" s="6">
        <f t="shared" si="26"/>
        <v>5.2501364377062383E-2</v>
      </c>
      <c r="C893" s="4">
        <f t="shared" si="27"/>
        <v>5.3904000000000001E-2</v>
      </c>
      <c r="D893" s="5">
        <v>1.3802501553729493E-2</v>
      </c>
      <c r="E893" s="5">
        <v>1.452610201173633E-2</v>
      </c>
      <c r="F893" s="7">
        <v>3.309759389516969E-2</v>
      </c>
      <c r="G893" s="7">
        <v>0.41702431897153253</v>
      </c>
      <c r="H893" s="7">
        <v>1.0592840947490116E-3</v>
      </c>
      <c r="I893" s="7">
        <v>0.18872585413662352</v>
      </c>
      <c r="J893" s="7">
        <v>2.0054240078095194E-2</v>
      </c>
      <c r="K893" s="8">
        <v>2.0000000000000001E-4</v>
      </c>
      <c r="L893" s="8">
        <v>1.6399999999999998E-2</v>
      </c>
      <c r="M893" s="8">
        <v>2.3799999999999998E-2</v>
      </c>
      <c r="N893" s="7">
        <v>1.6199999999999999E-2</v>
      </c>
      <c r="O893" s="7">
        <v>7.0000000000000062E-3</v>
      </c>
      <c r="P893" s="7">
        <v>-1.5999999999999973E-3</v>
      </c>
      <c r="Q893" s="7">
        <v>8.2189091540600945E-3</v>
      </c>
      <c r="R893" s="7">
        <v>5.3904000000000001E-2</v>
      </c>
      <c r="S893" s="7">
        <v>0</v>
      </c>
    </row>
    <row r="894" spans="1:19" x14ac:dyDescent="0.3">
      <c r="A894" s="2">
        <v>202105</v>
      </c>
      <c r="B894" s="6">
        <f t="shared" si="26"/>
        <v>6.1888097490995385E-3</v>
      </c>
      <c r="C894" s="4">
        <f t="shared" si="27"/>
        <v>6.208E-3</v>
      </c>
      <c r="D894" s="5">
        <v>1.3745554654352919E-2</v>
      </c>
      <c r="E894" s="5">
        <v>1.3820969675452479E-2</v>
      </c>
      <c r="F894" s="7">
        <v>3.5340020440315152E-2</v>
      </c>
      <c r="G894" s="7">
        <v>0.38895151963953817</v>
      </c>
      <c r="H894" s="7">
        <v>1.4964817749421884E-3</v>
      </c>
      <c r="I894" s="7">
        <v>0.18514804029603718</v>
      </c>
      <c r="J894" s="7">
        <v>1.7464300559857496E-2</v>
      </c>
      <c r="K894" s="8">
        <v>2.0000000000000001E-4</v>
      </c>
      <c r="L894" s="8">
        <v>1.6200000000000003E-2</v>
      </c>
      <c r="M894" s="8">
        <v>1E-4</v>
      </c>
      <c r="N894" s="7">
        <v>1.6000000000000004E-2</v>
      </c>
      <c r="O894" s="7">
        <v>6.6000000000000017E-3</v>
      </c>
      <c r="P894" s="7">
        <v>4.4000000000000003E-3</v>
      </c>
      <c r="Q894" s="7">
        <v>8.017105154762838E-3</v>
      </c>
      <c r="R894" s="7">
        <v>6.208E-3</v>
      </c>
      <c r="S894" s="7">
        <v>0</v>
      </c>
    </row>
    <row r="895" spans="1:19" x14ac:dyDescent="0.3">
      <c r="A895" s="2">
        <v>202106</v>
      </c>
      <c r="B895" s="6">
        <f t="shared" si="26"/>
        <v>2.3405931512649931E-2</v>
      </c>
      <c r="C895" s="4">
        <f t="shared" si="27"/>
        <v>2.3682000000000002E-2</v>
      </c>
      <c r="D895" s="5">
        <v>1.3464814923657045E-2</v>
      </c>
      <c r="E895" s="5">
        <v>1.3763922003567023E-2</v>
      </c>
      <c r="F895" s="7">
        <v>3.6942408376963345E-2</v>
      </c>
      <c r="G895" s="7">
        <v>0.36448124297314283</v>
      </c>
      <c r="H895" s="7">
        <v>6.0737734332055578E-4</v>
      </c>
      <c r="I895" s="7">
        <v>0.18529260624806718</v>
      </c>
      <c r="J895" s="7">
        <v>1.7254590361798692E-2</v>
      </c>
      <c r="K895" s="8">
        <v>4.0000000000000002E-4</v>
      </c>
      <c r="L895" s="8">
        <v>1.52E-2</v>
      </c>
      <c r="M895" s="8">
        <v>2.8399999999999998E-2</v>
      </c>
      <c r="N895" s="7">
        <v>1.4800000000000001E-2</v>
      </c>
      <c r="O895" s="7">
        <v>6.4999999999999988E-3</v>
      </c>
      <c r="P895" s="7">
        <v>1.5799999999999998E-2</v>
      </c>
      <c r="Q895" s="7">
        <v>9.2906629023572496E-3</v>
      </c>
      <c r="R895" s="7">
        <v>2.3682000000000002E-2</v>
      </c>
      <c r="S895" s="7">
        <v>0</v>
      </c>
    </row>
    <row r="896" spans="1:19" x14ac:dyDescent="0.3">
      <c r="A896" s="2">
        <v>202107</v>
      </c>
      <c r="B896" s="6">
        <f t="shared" si="26"/>
        <v>2.4014333830845475E-2</v>
      </c>
      <c r="C896" s="4">
        <f t="shared" si="27"/>
        <v>2.4305E-2</v>
      </c>
      <c r="D896" s="5">
        <v>1.3270702758378836E-2</v>
      </c>
      <c r="E896" s="5">
        <v>1.3572586156088928E-2</v>
      </c>
      <c r="F896" s="7">
        <v>3.7380420422606774E-2</v>
      </c>
      <c r="G896" s="7">
        <v>0.35501748263786348</v>
      </c>
      <c r="H896" s="7">
        <v>1.1239921666608816E-3</v>
      </c>
      <c r="I896" s="7">
        <v>0.1829962499431094</v>
      </c>
      <c r="J896" s="7">
        <v>1.607903131505865E-2</v>
      </c>
      <c r="K896" s="8">
        <v>5.0000000000000001E-4</v>
      </c>
      <c r="L896" s="8">
        <v>1.32E-2</v>
      </c>
      <c r="M896" s="8">
        <v>3.0499999999999999E-2</v>
      </c>
      <c r="N896" s="7">
        <v>1.2699999999999999E-2</v>
      </c>
      <c r="O896" s="7">
        <v>6.700000000000008E-3</v>
      </c>
      <c r="P896" s="7">
        <v>-6.5999999999999982E-3</v>
      </c>
      <c r="Q896" s="7">
        <v>4.8105235262938528E-3</v>
      </c>
      <c r="R896" s="7">
        <v>2.4305E-2</v>
      </c>
      <c r="S896" s="7">
        <v>0</v>
      </c>
    </row>
    <row r="897" spans="1:19" x14ac:dyDescent="0.3">
      <c r="A897" s="2">
        <v>202108</v>
      </c>
      <c r="B897" s="6">
        <f t="shared" si="26"/>
        <v>3.0141156911986808E-2</v>
      </c>
      <c r="C897" s="4">
        <f t="shared" si="27"/>
        <v>3.0599999999999999E-2</v>
      </c>
      <c r="D897" s="5">
        <v>1.2999225210974066E-2</v>
      </c>
      <c r="E897" s="5">
        <v>1.3376076927683047E-2</v>
      </c>
      <c r="F897" s="7">
        <v>3.7551481275114165E-2</v>
      </c>
      <c r="G897" s="7">
        <v>0.34617077062120621</v>
      </c>
      <c r="H897" s="7">
        <v>6.0209187377041542E-4</v>
      </c>
      <c r="I897" s="7">
        <v>0.18079547565901496</v>
      </c>
      <c r="J897" s="7">
        <v>1.484566327526627E-2</v>
      </c>
      <c r="K897" s="8">
        <v>5.0000000000000001E-4</v>
      </c>
      <c r="L897" s="8">
        <v>1.2800000000000001E-2</v>
      </c>
      <c r="M897" s="8">
        <v>-3.4999999999999996E-3</v>
      </c>
      <c r="N897" s="7">
        <v>1.23E-2</v>
      </c>
      <c r="O897" s="7">
        <v>6.9000000000000068E-3</v>
      </c>
      <c r="P897" s="7">
        <v>-1.0000000000000009E-3</v>
      </c>
      <c r="Q897" s="7">
        <v>2.0659113636114501E-3</v>
      </c>
      <c r="R897" s="7">
        <v>3.0599999999999999E-2</v>
      </c>
      <c r="S897" s="7">
        <v>0</v>
      </c>
    </row>
    <row r="898" spans="1:19" x14ac:dyDescent="0.3">
      <c r="A898" s="2">
        <v>202109</v>
      </c>
      <c r="B898" s="6">
        <f t="shared" si="26"/>
        <v>-4.7172323579562893E-2</v>
      </c>
      <c r="C898" s="4">
        <f t="shared" si="27"/>
        <v>-4.6077E-2</v>
      </c>
      <c r="D898" s="5">
        <v>1.3755991296318599E-2</v>
      </c>
      <c r="E898" s="5">
        <v>1.3101630614711677E-2</v>
      </c>
      <c r="F898" s="7">
        <v>4.0712332328893056E-2</v>
      </c>
      <c r="G898" s="7">
        <v>0.33788266378824322</v>
      </c>
      <c r="H898" s="7">
        <v>1.3934415025971727E-3</v>
      </c>
      <c r="I898" s="7">
        <v>0.18889833092620478</v>
      </c>
      <c r="J898" s="7">
        <v>1.5597885153208299E-2</v>
      </c>
      <c r="K898" s="8">
        <v>4.0000000000000002E-4</v>
      </c>
      <c r="L898" s="8">
        <v>1.37E-2</v>
      </c>
      <c r="M898" s="8">
        <v>-2.5000000000000001E-2</v>
      </c>
      <c r="N898" s="7">
        <v>1.3300000000000001E-2</v>
      </c>
      <c r="O898" s="7">
        <v>7.0000000000000027E-3</v>
      </c>
      <c r="P898" s="7">
        <v>5.6000000000000008E-3</v>
      </c>
      <c r="Q898" s="7">
        <v>2.715970859058281E-3</v>
      </c>
      <c r="R898" s="7">
        <v>-4.6077E-2</v>
      </c>
      <c r="S898" s="7">
        <v>0</v>
      </c>
    </row>
    <row r="899" spans="1:19" x14ac:dyDescent="0.3">
      <c r="A899" s="2">
        <v>202110</v>
      </c>
      <c r="B899" s="6">
        <f t="shared" ref="B899:B913" si="28">LN(R899+1) - LN(S899+1)</f>
        <v>6.8135170433208297E-2</v>
      </c>
      <c r="C899" s="4">
        <f t="shared" ref="C899:C913" si="29">R899 - S899</f>
        <v>7.0510000000000003E-2</v>
      </c>
      <c r="D899" s="5">
        <v>1.29490641220689E-2</v>
      </c>
      <c r="E899" s="5">
        <v>1.3844412571094795E-2</v>
      </c>
      <c r="F899" s="7">
        <v>3.9707906839392189E-2</v>
      </c>
      <c r="G899" s="7">
        <v>0.32610795060148562</v>
      </c>
      <c r="H899" s="7">
        <v>1.151121021032341E-3</v>
      </c>
      <c r="I899" s="7">
        <v>0.17847957931364877</v>
      </c>
      <c r="J899" s="7">
        <v>1.3368225947182934E-2</v>
      </c>
      <c r="K899" s="8">
        <v>5.0000000000000001E-4</v>
      </c>
      <c r="L899" s="8">
        <v>1.5800000000000002E-2</v>
      </c>
      <c r="M899" s="8">
        <v>5.1000000000000004E-3</v>
      </c>
      <c r="N899" s="7">
        <v>1.5300000000000001E-2</v>
      </c>
      <c r="O899" s="7">
        <v>6.7000000000000011E-3</v>
      </c>
      <c r="P899" s="7">
        <v>1.0800000000000001E-2</v>
      </c>
      <c r="Q899" s="7">
        <v>8.3081185520030854E-3</v>
      </c>
      <c r="R899" s="7">
        <v>7.0510000000000003E-2</v>
      </c>
      <c r="S899" s="7">
        <v>0</v>
      </c>
    </row>
    <row r="900" spans="1:19" x14ac:dyDescent="0.3">
      <c r="A900" s="2">
        <v>202111</v>
      </c>
      <c r="B900" s="6">
        <f t="shared" si="28"/>
        <v>-7.3824478070516506E-3</v>
      </c>
      <c r="C900" s="4">
        <f t="shared" si="29"/>
        <v>-7.3560000000000006E-3</v>
      </c>
      <c r="D900" s="5">
        <v>1.3141282921927552E-2</v>
      </c>
      <c r="E900" s="5">
        <v>1.3031766999562062E-2</v>
      </c>
      <c r="F900" s="7">
        <v>4.1683818699365008E-2</v>
      </c>
      <c r="G900" s="7">
        <v>0.31526101331324857</v>
      </c>
      <c r="H900" s="7">
        <v>1.3266661711386178E-3</v>
      </c>
      <c r="I900" s="7">
        <v>0.18539357122723418</v>
      </c>
      <c r="J900" s="7">
        <v>1.5639777244335018E-2</v>
      </c>
      <c r="K900" s="8">
        <v>5.0000000000000001E-4</v>
      </c>
      <c r="L900" s="8">
        <v>1.5600000000000001E-2</v>
      </c>
      <c r="M900" s="8">
        <v>2.1000000000000001E-2</v>
      </c>
      <c r="N900" s="7">
        <v>1.5100000000000001E-2</v>
      </c>
      <c r="O900" s="7">
        <v>6.5999999999999948E-3</v>
      </c>
      <c r="P900" s="7">
        <v>-1.1600000000000003E-2</v>
      </c>
      <c r="Q900" s="7">
        <v>4.913427504347645E-3</v>
      </c>
      <c r="R900" s="7">
        <v>-7.2560000000000003E-3</v>
      </c>
      <c r="S900" s="7">
        <v>1E-4</v>
      </c>
    </row>
    <row r="901" spans="1:19" x14ac:dyDescent="0.3">
      <c r="A901" s="2">
        <v>202112</v>
      </c>
      <c r="B901" s="6">
        <f t="shared" si="28"/>
        <v>4.2566072731274315E-2</v>
      </c>
      <c r="C901" s="4">
        <f t="shared" si="29"/>
        <v>4.3485000000000003E-2</v>
      </c>
      <c r="D901" s="5">
        <v>1.2672017691818728E-2</v>
      </c>
      <c r="E901" s="5">
        <v>1.3224680815062971E-2</v>
      </c>
      <c r="F901" s="7">
        <v>4.1515427449236073E-2</v>
      </c>
      <c r="G901" s="7">
        <v>0.30523635357756396</v>
      </c>
      <c r="H901" s="7">
        <v>2.518415211274876E-3</v>
      </c>
      <c r="I901" s="7">
        <v>0.17593173043317931</v>
      </c>
      <c r="J901" s="7">
        <v>1.2970015216677597E-2</v>
      </c>
      <c r="K901" s="8">
        <v>5.9999999999999995E-4</v>
      </c>
      <c r="L901" s="8">
        <v>1.47E-2</v>
      </c>
      <c r="M901" s="8">
        <v>-1.1000000000000001E-2</v>
      </c>
      <c r="N901" s="7">
        <v>1.41E-2</v>
      </c>
      <c r="O901" s="7">
        <v>6.5000000000000023E-3</v>
      </c>
      <c r="P901" s="7">
        <v>-1.8999999999999989E-3</v>
      </c>
      <c r="Q901" s="7">
        <v>3.0725171614836011E-3</v>
      </c>
      <c r="R901" s="7">
        <v>4.3485000000000003E-2</v>
      </c>
      <c r="S901" s="7">
        <v>0</v>
      </c>
    </row>
    <row r="902" spans="1:19" x14ac:dyDescent="0.3">
      <c r="A902" s="2">
        <v>202201</v>
      </c>
      <c r="B902" s="6">
        <f t="shared" si="28"/>
        <v>-5.3657138698961743E-2</v>
      </c>
      <c r="C902" s="4">
        <f t="shared" si="29"/>
        <v>-5.2242999999999998E-2</v>
      </c>
      <c r="D902" s="5">
        <v>1.3491469026575567E-2</v>
      </c>
      <c r="E902" s="5">
        <v>1.2782018925628764E-2</v>
      </c>
      <c r="F902" s="7">
        <v>4.3822642498329845E-2</v>
      </c>
      <c r="G902" s="7">
        <v>0.30786525543478466</v>
      </c>
      <c r="H902" s="7">
        <v>2.7800600323106177E-3</v>
      </c>
      <c r="I902" s="7">
        <v>0.18197328578674743</v>
      </c>
      <c r="J902" s="7">
        <v>1.1640255208501224E-2</v>
      </c>
      <c r="K902" s="8">
        <v>1.5E-3</v>
      </c>
      <c r="L902" s="8">
        <v>1.7600000000000001E-2</v>
      </c>
      <c r="M902" s="8">
        <v>-1.8944378887577606E-2</v>
      </c>
      <c r="N902" s="7">
        <v>1.61E-2</v>
      </c>
      <c r="O902" s="7">
        <v>6.4999999999999954E-3</v>
      </c>
      <c r="P902" s="7">
        <v>-1.4717503805259491E-2</v>
      </c>
      <c r="Q902" s="7">
        <v>8.414573783545265E-3</v>
      </c>
      <c r="R902" s="7">
        <v>-5.2242999999999998E-2</v>
      </c>
      <c r="S902" s="7">
        <v>0</v>
      </c>
    </row>
    <row r="903" spans="1:19" x14ac:dyDescent="0.3">
      <c r="A903" s="2">
        <v>202202</v>
      </c>
      <c r="B903" s="6">
        <f t="shared" si="28"/>
        <v>-2.9730606999136627E-2</v>
      </c>
      <c r="C903" s="4">
        <f t="shared" si="29"/>
        <v>-2.9293E-2</v>
      </c>
      <c r="D903" s="5">
        <v>1.4048132494619045E-2</v>
      </c>
      <c r="E903" s="5">
        <v>1.3607575742382217E-2</v>
      </c>
      <c r="F903" s="7">
        <v>4.5244485902108104E-2</v>
      </c>
      <c r="G903" s="7">
        <v>0.31049380304627333</v>
      </c>
      <c r="H903" s="7">
        <v>3.6763275926886946E-3</v>
      </c>
      <c r="I903" s="7">
        <v>0.18862701592678049</v>
      </c>
      <c r="J903" s="7">
        <v>8.486820988286457E-3</v>
      </c>
      <c r="K903" s="8">
        <v>3.3E-3</v>
      </c>
      <c r="L903" s="8">
        <v>1.9299999999999998E-2</v>
      </c>
      <c r="M903" s="8">
        <v>-6.5889529028497762E-3</v>
      </c>
      <c r="N903" s="7">
        <v>1.5999999999999997E-2</v>
      </c>
      <c r="O903" s="7">
        <v>7.1999999999999981E-3</v>
      </c>
      <c r="P903" s="7">
        <v>-1.3414218940578704E-2</v>
      </c>
      <c r="Q903" s="7">
        <v>9.133979256476854E-3</v>
      </c>
      <c r="R903" s="7">
        <v>-2.9293E-2</v>
      </c>
      <c r="S903" s="7">
        <v>0</v>
      </c>
    </row>
    <row r="904" spans="1:19" x14ac:dyDescent="0.3">
      <c r="A904" s="2">
        <v>202203</v>
      </c>
      <c r="B904" s="6">
        <f t="shared" si="28"/>
        <v>3.7123532797633245E-2</v>
      </c>
      <c r="C904" s="4">
        <f t="shared" si="29"/>
        <v>3.7824999999999998E-2</v>
      </c>
      <c r="D904" s="5">
        <v>1.3678668006664903E-2</v>
      </c>
      <c r="E904" s="5">
        <v>1.4167998263367752E-2</v>
      </c>
      <c r="F904" s="7">
        <v>4.3684787911027929E-2</v>
      </c>
      <c r="G904" s="7">
        <v>0.3131219964836276</v>
      </c>
      <c r="H904" s="7">
        <v>4.7468102290917262E-3</v>
      </c>
      <c r="I904" s="7">
        <v>0.20692074449908951</v>
      </c>
      <c r="J904" s="7">
        <v>-1.1222412318618771E-3</v>
      </c>
      <c r="K904" s="8">
        <v>4.4000000000000003E-3</v>
      </c>
      <c r="L904" s="8">
        <v>2.1299999999999999E-2</v>
      </c>
      <c r="M904" s="8">
        <v>-3.1135719064368628E-2</v>
      </c>
      <c r="N904" s="7">
        <v>1.6899999999999998E-2</v>
      </c>
      <c r="O904" s="7">
        <v>8.5999999999999965E-3</v>
      </c>
      <c r="P904" s="7">
        <v>5.9203213090005535E-3</v>
      </c>
      <c r="Q904" s="7">
        <v>1.3351379548562692E-2</v>
      </c>
      <c r="R904" s="7">
        <v>3.7925E-2</v>
      </c>
      <c r="S904" s="7">
        <v>1E-4</v>
      </c>
    </row>
    <row r="905" spans="1:19" x14ac:dyDescent="0.3">
      <c r="A905" s="2">
        <v>202204</v>
      </c>
      <c r="B905" s="6">
        <f t="shared" si="28"/>
        <v>-9.1750479665667323E-2</v>
      </c>
      <c r="C905" s="4">
        <f t="shared" si="29"/>
        <v>-8.7676000000000004E-2</v>
      </c>
      <c r="D905" s="5">
        <v>1.516317669076812E-2</v>
      </c>
      <c r="E905" s="5">
        <v>1.3829473417170968E-2</v>
      </c>
      <c r="F905" s="7">
        <v>4.7441913746522006E-2</v>
      </c>
      <c r="G905" s="7">
        <v>0.31961562030957785</v>
      </c>
      <c r="H905" s="7">
        <v>4.9265366567478874E-3</v>
      </c>
      <c r="I905" s="7">
        <v>0.21759481775444314</v>
      </c>
      <c r="J905" s="7">
        <v>-5.6630673172854678E-3</v>
      </c>
      <c r="K905" s="8">
        <v>7.6E-3</v>
      </c>
      <c r="L905" s="8">
        <v>2.75E-2</v>
      </c>
      <c r="M905" s="8">
        <v>-3.0979805724888565E-2</v>
      </c>
      <c r="N905" s="7">
        <v>1.9900000000000001E-2</v>
      </c>
      <c r="O905" s="7">
        <v>9.000000000000008E-3</v>
      </c>
      <c r="P905" s="7">
        <v>-2.3700752947726E-2</v>
      </c>
      <c r="Q905" s="7">
        <v>5.5825310256552019E-3</v>
      </c>
      <c r="R905" s="7">
        <v>-8.7576000000000001E-2</v>
      </c>
      <c r="S905" s="7">
        <v>1E-4</v>
      </c>
    </row>
    <row r="906" spans="1:19" x14ac:dyDescent="0.3">
      <c r="A906" s="2">
        <v>202205</v>
      </c>
      <c r="B906" s="6">
        <f t="shared" si="28"/>
        <v>7.3975070435138783E-5</v>
      </c>
      <c r="C906" s="4">
        <f t="shared" si="29"/>
        <v>7.400000000000001E-5</v>
      </c>
      <c r="D906" s="5">
        <v>1.5327709546772582E-2</v>
      </c>
      <c r="E906" s="5">
        <v>1.5328525653555677E-2</v>
      </c>
      <c r="F906" s="7">
        <v>4.6983612243827882E-2</v>
      </c>
      <c r="G906" s="7">
        <v>0.32623523000375826</v>
      </c>
      <c r="H906" s="7">
        <v>7.7600306318180087E-3</v>
      </c>
      <c r="I906" s="7">
        <v>0.21750966653046425</v>
      </c>
      <c r="J906" s="7">
        <v>-3.3718886642956558E-3</v>
      </c>
      <c r="K906" s="8">
        <v>9.7999999999999997E-3</v>
      </c>
      <c r="L906" s="8">
        <v>2.8999999999999998E-2</v>
      </c>
      <c r="M906" s="8">
        <v>1.8273703353965942E-3</v>
      </c>
      <c r="N906" s="7">
        <v>1.9199999999999998E-2</v>
      </c>
      <c r="O906" s="7">
        <v>9.900000000000006E-3</v>
      </c>
      <c r="P906" s="7">
        <v>7.5096704958634852E-3</v>
      </c>
      <c r="Q906" s="7">
        <v>1.1023523999598828E-2</v>
      </c>
      <c r="R906" s="7">
        <v>3.7399999999999998E-4</v>
      </c>
      <c r="S906" s="7">
        <v>2.9999999999999997E-4</v>
      </c>
    </row>
    <row r="907" spans="1:19" x14ac:dyDescent="0.3">
      <c r="A907" s="2">
        <v>202206</v>
      </c>
      <c r="B907" s="6">
        <f t="shared" si="28"/>
        <v>-8.581245213728951E-2</v>
      </c>
      <c r="C907" s="4">
        <f t="shared" si="29"/>
        <v>-8.2283000000000009E-2</v>
      </c>
      <c r="D907" s="5">
        <v>1.6912332538214687E-2</v>
      </c>
      <c r="E907" s="5">
        <v>1.5493049706207934E-2</v>
      </c>
      <c r="F907" s="7">
        <v>5.0790145243013916E-2</v>
      </c>
      <c r="G907" s="7">
        <v>0.33298452794916833</v>
      </c>
      <c r="H907" s="7">
        <v>7.2034264480070114E-3</v>
      </c>
      <c r="I907" s="7">
        <v>0.23316229862588436</v>
      </c>
      <c r="J907" s="7">
        <v>-4.8154202255124932E-3</v>
      </c>
      <c r="K907" s="8">
        <v>1.49E-2</v>
      </c>
      <c r="L907" s="8">
        <v>3.1400000000000004E-2</v>
      </c>
      <c r="M907" s="8">
        <v>-8.7972700534991732E-3</v>
      </c>
      <c r="N907" s="7">
        <v>1.6500000000000004E-2</v>
      </c>
      <c r="O907" s="7">
        <v>1.0299999999999997E-2</v>
      </c>
      <c r="P907" s="7">
        <v>-1.9202833053900137E-2</v>
      </c>
      <c r="Q907" s="7">
        <v>1.3736075758819855E-2</v>
      </c>
      <c r="R907" s="7">
        <v>-8.1683000000000006E-2</v>
      </c>
      <c r="S907" s="7">
        <v>5.9999999999999995E-4</v>
      </c>
    </row>
    <row r="908" spans="1:19" x14ac:dyDescent="0.3">
      <c r="A908" s="2">
        <v>202207</v>
      </c>
      <c r="B908" s="6">
        <f t="shared" si="28"/>
        <v>8.8827106983554976E-2</v>
      </c>
      <c r="C908" s="4">
        <f t="shared" si="29"/>
        <v>9.2966000000000007E-2</v>
      </c>
      <c r="D908" s="5">
        <v>1.5604837758004184E-2</v>
      </c>
      <c r="E908" s="5">
        <v>1.7026693579906667E-2</v>
      </c>
      <c r="F908" s="7">
        <v>4.6130739810844604E-2</v>
      </c>
      <c r="G908" s="7">
        <v>0.33827417080217159</v>
      </c>
      <c r="H908" s="7">
        <v>3.187742188769261E-3</v>
      </c>
      <c r="I908" s="7">
        <v>0.21846983099168737</v>
      </c>
      <c r="J908" s="7">
        <v>-6.1198146287730704E-3</v>
      </c>
      <c r="K908" s="8">
        <v>2.23E-2</v>
      </c>
      <c r="L908" s="8">
        <v>2.8999999999999998E-2</v>
      </c>
      <c r="M908" s="8">
        <v>1.5941288862669767E-2</v>
      </c>
      <c r="N908" s="7">
        <v>6.6999999999999976E-3</v>
      </c>
      <c r="O908" s="7">
        <v>1.1500000000000003E-2</v>
      </c>
      <c r="P908" s="7">
        <v>1.6432263344075437E-2</v>
      </c>
      <c r="Q908" s="7">
        <v>-1.1811913833770227E-4</v>
      </c>
      <c r="R908" s="7">
        <v>9.3766000000000002E-2</v>
      </c>
      <c r="S908" s="7">
        <v>8.0000000000000004E-4</v>
      </c>
    </row>
    <row r="909" spans="1:19" x14ac:dyDescent="0.3">
      <c r="A909" s="2">
        <v>202208</v>
      </c>
      <c r="B909" s="6">
        <f t="shared" si="28"/>
        <v>-4.3027530693760793E-2</v>
      </c>
      <c r="C909" s="4">
        <f t="shared" si="29"/>
        <v>-4.2194999999999996E-2</v>
      </c>
      <c r="D909" s="5">
        <v>1.6405917912391176E-2</v>
      </c>
      <c r="E909" s="5">
        <v>1.5709648800328088E-2</v>
      </c>
      <c r="F909" s="7">
        <v>4.7738727349346817E-2</v>
      </c>
      <c r="G909" s="7">
        <v>0.34366056288711788</v>
      </c>
      <c r="H909" s="7">
        <v>3.3489216113628327E-3</v>
      </c>
      <c r="I909" s="7">
        <v>0.22772364578966392</v>
      </c>
      <c r="J909" s="7">
        <v>-9.7310278968602767E-3</v>
      </c>
      <c r="K909" s="8">
        <v>2.63E-2</v>
      </c>
      <c r="L909" s="8">
        <v>2.8999999999999998E-2</v>
      </c>
      <c r="M909" s="8">
        <v>-2.4808573149540436E-2</v>
      </c>
      <c r="N909" s="7">
        <v>2.6999999999999975E-3</v>
      </c>
      <c r="O909" s="7">
        <v>1.0800000000000004E-2</v>
      </c>
      <c r="P909" s="7">
        <v>-4.5172507863429079E-3</v>
      </c>
      <c r="Q909" s="7">
        <v>-3.5439927635050328E-4</v>
      </c>
      <c r="R909" s="7">
        <v>-4.0294999999999997E-2</v>
      </c>
      <c r="S909" s="7">
        <v>1.9E-3</v>
      </c>
    </row>
    <row r="910" spans="1:19" x14ac:dyDescent="0.3">
      <c r="A910" s="2">
        <v>202209</v>
      </c>
      <c r="B910" s="6">
        <f t="shared" si="28"/>
        <v>-9.7853084866810811E-2</v>
      </c>
      <c r="C910" s="4">
        <f t="shared" si="29"/>
        <v>-9.3395000000000006E-2</v>
      </c>
      <c r="D910" s="5">
        <v>1.8216739460262685E-2</v>
      </c>
      <c r="E910" s="5">
        <v>1.6515374296714815E-2</v>
      </c>
      <c r="F910" s="7">
        <v>5.2175077113581478E-2</v>
      </c>
      <c r="G910" s="7">
        <v>0.34914638306343321</v>
      </c>
      <c r="H910" s="7">
        <v>4.9336920554212604E-3</v>
      </c>
      <c r="I910" s="7">
        <v>0.24980130901070166</v>
      </c>
      <c r="J910" s="7">
        <v>-1.1291114727565223E-2</v>
      </c>
      <c r="K910" s="8">
        <v>3.1300000000000001E-2</v>
      </c>
      <c r="L910" s="8">
        <v>3.5200000000000002E-2</v>
      </c>
      <c r="M910" s="8">
        <v>-3.4535775544120795E-2</v>
      </c>
      <c r="N910" s="7">
        <v>3.9000000000000007E-3</v>
      </c>
      <c r="O910" s="7">
        <v>1.100000000000001E-2</v>
      </c>
      <c r="P910" s="7">
        <v>-1.8018152851275837E-2</v>
      </c>
      <c r="Q910" s="7">
        <v>2.1507845130008807E-3</v>
      </c>
      <c r="R910" s="7">
        <v>-9.1495000000000007E-2</v>
      </c>
      <c r="S910" s="7">
        <v>1.9E-3</v>
      </c>
    </row>
    <row r="911" spans="1:19" x14ac:dyDescent="0.3">
      <c r="A911" s="2">
        <v>202210</v>
      </c>
      <c r="B911" s="6">
        <f t="shared" si="28"/>
        <v>7.4893285356226594E-2</v>
      </c>
      <c r="C911" s="4">
        <f t="shared" si="29"/>
        <v>7.7948000000000003E-2</v>
      </c>
      <c r="D911" s="5">
        <v>1.7007615314448478E-2</v>
      </c>
      <c r="E911" s="5">
        <v>1.8365902227575209E-2</v>
      </c>
      <c r="F911" s="7">
        <v>4.7082715647635921E-2</v>
      </c>
      <c r="G911" s="7">
        <v>0.3612284270459758</v>
      </c>
      <c r="H911" s="7">
        <v>6.5039555194338246E-3</v>
      </c>
      <c r="I911" s="7">
        <v>0.21921855500344453</v>
      </c>
      <c r="J911" s="7">
        <v>-1.5251708561557284E-2</v>
      </c>
      <c r="K911" s="8">
        <v>3.7200000000000004E-2</v>
      </c>
      <c r="L911" s="8">
        <v>3.9800000000000002E-2</v>
      </c>
      <c r="M911" s="8">
        <v>-1.3936576609748119E-2</v>
      </c>
      <c r="N911" s="7">
        <v>2.5999999999999981E-3</v>
      </c>
      <c r="O911" s="7">
        <v>1.1600000000000006E-2</v>
      </c>
      <c r="P911" s="7">
        <v>3.594831152155642E-3</v>
      </c>
      <c r="Q911" s="7">
        <v>4.0564944341123788E-3</v>
      </c>
      <c r="R911" s="7">
        <v>8.0248E-2</v>
      </c>
      <c r="S911" s="7">
        <v>2.3E-3</v>
      </c>
    </row>
    <row r="912" spans="1:19" x14ac:dyDescent="0.3">
      <c r="A912" s="2">
        <v>202211</v>
      </c>
      <c r="B912" s="6">
        <f t="shared" si="28"/>
        <v>4.9853181244585675E-2</v>
      </c>
      <c r="C912" s="4">
        <f t="shared" si="29"/>
        <v>5.1264999999999998E-2</v>
      </c>
      <c r="D912" s="5">
        <v>1.6271126843876594E-2</v>
      </c>
      <c r="E912" s="5">
        <v>1.7145746451936561E-2</v>
      </c>
      <c r="F912" s="7">
        <v>4.3510264837631013E-2</v>
      </c>
      <c r="G912" s="7">
        <v>0.37396064824234476</v>
      </c>
      <c r="H912" s="7">
        <v>6.3427432560942297E-3</v>
      </c>
      <c r="I912" s="7">
        <v>0.207450642198546</v>
      </c>
      <c r="J912" s="7">
        <v>-1.7010668308135614E-2</v>
      </c>
      <c r="K912" s="8">
        <v>4.1500000000000002E-2</v>
      </c>
      <c r="L912" s="8">
        <v>3.8900000000000004E-2</v>
      </c>
      <c r="M912" s="8">
        <v>2.6778129405065298E-2</v>
      </c>
      <c r="N912" s="7">
        <v>-2.5999999999999981E-3</v>
      </c>
      <c r="O912" s="7">
        <v>1.1700000000000002E-2</v>
      </c>
      <c r="P912" s="7">
        <v>2.5005253907688374E-2</v>
      </c>
      <c r="Q912" s="7">
        <v>-1.0100264418881899E-3</v>
      </c>
      <c r="R912" s="7">
        <v>5.4164999999999998E-2</v>
      </c>
      <c r="S912" s="7">
        <v>2.8999999999999998E-3</v>
      </c>
    </row>
    <row r="913" spans="1:19" x14ac:dyDescent="0.3">
      <c r="A913" s="2">
        <v>202212</v>
      </c>
      <c r="B913" s="6">
        <f t="shared" si="28"/>
        <v>-6.3877189647840199E-2</v>
      </c>
      <c r="C913" s="4">
        <f t="shared" si="29"/>
        <v>-6.2084E-2</v>
      </c>
      <c r="D913" s="5">
        <v>1.7430089425368004E-2</v>
      </c>
      <c r="E913" s="5">
        <v>1.6402211790540071E-2</v>
      </c>
      <c r="F913" s="7">
        <v>4.4992837609063682E-2</v>
      </c>
      <c r="G913" s="7">
        <v>0.38739698031085645</v>
      </c>
      <c r="H913" s="7">
        <v>2.7013952709264476E-3</v>
      </c>
      <c r="I913" s="7">
        <v>0.21647859173837949</v>
      </c>
      <c r="J913" s="7">
        <v>-2.1249309350296362E-2</v>
      </c>
      <c r="K913" s="8">
        <v>4.2500000000000003E-2</v>
      </c>
      <c r="L913" s="8">
        <v>3.6200000000000003E-2</v>
      </c>
      <c r="M913" s="8">
        <v>-5.1823128571364396E-3</v>
      </c>
      <c r="N913" s="7">
        <v>-6.3E-3</v>
      </c>
      <c r="O913" s="7">
        <v>1.1599999999999999E-2</v>
      </c>
      <c r="P913" s="7">
        <v>7.9493562319654654E-4</v>
      </c>
      <c r="Q913" s="7">
        <v>-3.0700914645410693E-3</v>
      </c>
      <c r="R913" s="7">
        <v>-5.8784000000000003E-2</v>
      </c>
      <c r="S913" s="7">
        <v>3.3E-3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Jille</dc:creator>
  <cp:lastModifiedBy>Joost Fitton</cp:lastModifiedBy>
  <dcterms:created xsi:type="dcterms:W3CDTF">2026-04-09T13:49:38Z</dcterms:created>
  <dcterms:modified xsi:type="dcterms:W3CDTF">2026-04-10T08:29:57Z</dcterms:modified>
</cp:coreProperties>
</file>